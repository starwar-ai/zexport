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040"/>
  </bookViews>
  <sheets>
    <sheet name="商检明细" sheetId="11" r:id="rId1"/>
    <sheet name="报关发票" sheetId="5" r:id="rId2"/>
    <sheet name="报关箱单" sheetId="12" r:id="rId3"/>
    <sheet name="报关单" sheetId="6" r:id="rId4"/>
    <sheet name="报关合同" sheetId="7" r:id="rId5"/>
    <sheet name="资料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<sst xmlns="http://schemas.openxmlformats.org/spreadsheetml/2006/main" count="330" uniqueCount="280">
  <si>
    <t>商检单</t>
  </si>
  <si>
    <t>基本信息</t>
  </si>
  <si>
    <t>发票号</t>
  </si>
  <si>
    <t>{invoiceCode}</t>
  </si>
  <si>
    <t>单据编号</t>
  </si>
  <si>
    <t>{code}</t>
  </si>
  <si>
    <t>录入日期</t>
  </si>
  <si>
    <t>{inputDate}</t>
  </si>
  <si>
    <t>录入人</t>
  </si>
  <si>
    <t>{inputUserName}</t>
  </si>
  <si>
    <t>状态</t>
  </si>
  <si>
    <t>{status}</t>
  </si>
  <si>
    <t>审核日期</t>
  </si>
  <si>
    <t/>
  </si>
  <si>
    <t>审核人</t>
  </si>
  <si>
    <t>出运日期</t>
  </si>
  <si>
    <t>{shipDate}</t>
  </si>
  <si>
    <t>外销合同</t>
  </si>
  <si>
    <t>{saleContractCode}</t>
  </si>
  <si>
    <t>客户合同</t>
  </si>
  <si>
    <t>{custPo}</t>
  </si>
  <si>
    <t>客户编号</t>
  </si>
  <si>
    <t>{custCode}</t>
  </si>
  <si>
    <t>客户名称</t>
  </si>
  <si>
    <t>{custName}</t>
  </si>
  <si>
    <t>外销币种</t>
  </si>
  <si>
    <t>{currency}</t>
  </si>
  <si>
    <t>贸易国别</t>
  </si>
  <si>
    <t>{tradeCountryName}</t>
  </si>
  <si>
    <t>贸易方式</t>
  </si>
  <si>
    <t>{tradeType}</t>
  </si>
  <si>
    <t>价格条款</t>
  </si>
  <si>
    <t>{settlementTermType}</t>
  </si>
  <si>
    <t>结汇方式</t>
  </si>
  <si>
    <t>{settlementName}</t>
  </si>
  <si>
    <t>船代公司</t>
  </si>
  <si>
    <t>{forwarderCompanyName}</t>
  </si>
  <si>
    <t>集装箱数量</t>
  </si>
  <si>
    <t>{containerQuantity}</t>
  </si>
  <si>
    <t>运输方式</t>
  </si>
  <si>
    <t>{transportType}</t>
  </si>
  <si>
    <t>出运口岸</t>
  </si>
  <si>
    <t>{departurePortName}</t>
  </si>
  <si>
    <t>目的口岸</t>
  </si>
  <si>
    <t>{destinationPortName}</t>
  </si>
  <si>
    <t>出运单号</t>
  </si>
  <si>
    <t>{shipmentCode}</t>
  </si>
  <si>
    <t>合计</t>
  </si>
  <si>
    <t>数量合计</t>
  </si>
  <si>
    <t>{totalQuantity}</t>
  </si>
  <si>
    <t>箱数合计</t>
  </si>
  <si>
    <t>{totalBoxes}</t>
  </si>
  <si>
    <t>毛重合计</t>
  </si>
  <si>
    <t>{totalGrossweight}</t>
  </si>
  <si>
    <t>净重合计</t>
  </si>
  <si>
    <t>{totalWeight}</t>
  </si>
  <si>
    <t>体积合计</t>
  </si>
  <si>
    <t>{totalVolume}</t>
  </si>
  <si>
    <t>备注信息</t>
  </si>
  <si>
    <t>抬头人</t>
  </si>
  <si>
    <t>{companyTitle}</t>
  </si>
  <si>
    <t>备注</t>
  </si>
  <si>
    <t>{remark}</t>
  </si>
  <si>
    <t>收货人</t>
  </si>
  <si>
    <t>{receivePerson}</t>
  </si>
  <si>
    <t>通知人</t>
  </si>
  <si>
    <t>{notifyPerson}</t>
  </si>
  <si>
    <t>正面唛头</t>
  </si>
  <si>
    <t>{frontShippingMark}</t>
  </si>
  <si>
    <t>序号</t>
  </si>
  <si>
    <t>中文品名</t>
  </si>
  <si>
    <t>英文品名</t>
  </si>
  <si>
    <t>申报要素</t>
  </si>
  <si>
    <t>数量</t>
  </si>
  <si>
    <t>销售单价</t>
  </si>
  <si>
    <t>金额</t>
  </si>
  <si>
    <t>报关单位</t>
  </si>
  <si>
    <t>采购币种</t>
  </si>
  <si>
    <t>采购单价</t>
  </si>
  <si>
    <t>采购总价</t>
  </si>
  <si>
    <t>HS编码</t>
  </si>
  <si>
    <t>退税率%</t>
  </si>
  <si>
    <t>退税金额</t>
  </si>
  <si>
    <t>采购员编号</t>
  </si>
  <si>
    <t>采购员名称</t>
  </si>
  <si>
    <t>厂商简称</t>
  </si>
  <si>
    <t>箱数</t>
  </si>
  <si>
    <t>外箱单位</t>
  </si>
  <si>
    <t>外箱体积</t>
  </si>
  <si>
    <t>总体积</t>
  </si>
  <si>
    <t>外箱毛重</t>
  </si>
  <si>
    <t>总毛重</t>
  </si>
  <si>
    <t>外箱净重</t>
  </si>
  <si>
    <t>总净重</t>
  </si>
  <si>
    <t>{.sortNum}</t>
  </si>
  <si>
    <t>{.declarationName}</t>
  </si>
  <si>
    <t>{.customsDeclarationNameEng}</t>
  </si>
  <si>
    <t>{.customsDeclareElements}</t>
  </si>
  <si>
    <t>{.declarationQuantity}</t>
  </si>
  <si>
    <t>{.saleUnitPriceAmount}</t>
  </si>
  <si>
    <t>{.saleAmountAmount}</t>
  </si>
  <si>
    <t>{.hsMeasureUnitName}</t>
  </si>
  <si>
    <t>{.purchaseCurrency}</t>
  </si>
  <si>
    <t>{.purchaseUnitPriceAmount}</t>
  </si>
  <si>
    <t>{.purchaseTotalAmountAmount}</t>
  </si>
  <si>
    <t>{.hsCode}</t>
  </si>
  <si>
    <t>{.taxRefundRate}</t>
  </si>
  <si>
    <t>{.taxRefundPriceAmount}</t>
  </si>
  <si>
    <t>{.purchaseUserCode}</t>
  </si>
  <si>
    <t>{.purchaseUserName}</t>
  </si>
  <si>
    <t>{.venderName}</t>
  </si>
  <si>
    <t>{.boxCount}</t>
  </si>
  <si>
    <t>{.unitPerOuterbox}</t>
  </si>
  <si>
    <t>{.outerboxVolume}</t>
  </si>
  <si>
    <t>{.totalVolume}</t>
  </si>
  <si>
    <t>{.outerboxGrossweightWeight}</t>
  </si>
  <si>
    <t>{.totalGrossweightWeight}</t>
  </si>
  <si>
    <t>{.outerboxNetweightWeight}</t>
  </si>
  <si>
    <t>{.totalNetweightWeight}</t>
  </si>
  <si>
    <t>COMMERCIAL INVOICE</t>
  </si>
  <si>
    <t>付款方式</t>
  </si>
  <si>
    <t>发票号码</t>
  </si>
  <si>
    <t>PAYMENT</t>
  </si>
  <si>
    <t>INV.NO.</t>
  </si>
  <si>
    <t>合同号码</t>
  </si>
  <si>
    <r>
      <rPr>
        <sz val="10"/>
        <rFont val="宋体"/>
        <charset val="0"/>
      </rPr>
      <t>日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期</t>
    </r>
  </si>
  <si>
    <t>CONTRACT NO.</t>
  </si>
  <si>
    <t>DATE:</t>
  </si>
  <si>
    <r>
      <rPr>
        <sz val="10"/>
        <rFont val="宋体"/>
        <charset val="0"/>
      </rPr>
      <t>客</t>
    </r>
    <r>
      <rPr>
        <sz val="10"/>
        <rFont val="Times New Roman"/>
        <charset val="1"/>
      </rPr>
      <t xml:space="preserve">        </t>
    </r>
    <r>
      <rPr>
        <sz val="10"/>
        <rFont val="宋体"/>
        <charset val="0"/>
      </rPr>
      <t>户</t>
    </r>
  </si>
  <si>
    <t>MESSRS</t>
  </si>
  <si>
    <r>
      <rPr>
        <sz val="10"/>
        <rFont val="宋体"/>
        <charset val="0"/>
      </rPr>
      <t>地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0"/>
      </rPr>
      <t>址</t>
    </r>
  </si>
  <si>
    <t>ADDRESS</t>
  </si>
  <si>
    <r>
      <rPr>
        <sz val="10"/>
        <rFont val="宋体"/>
        <charset val="0"/>
      </rPr>
      <t>船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由</t>
    </r>
  </si>
  <si>
    <t>FROM</t>
  </si>
  <si>
    <r>
      <rPr>
        <sz val="10"/>
        <rFont val="宋体"/>
        <charset val="0"/>
      </rPr>
      <t>货</t>
    </r>
    <r>
      <rPr>
        <sz val="10"/>
        <rFont val="Times New Roman"/>
        <charset val="1"/>
      </rPr>
      <t xml:space="preserve">                   </t>
    </r>
    <r>
      <rPr>
        <sz val="10"/>
        <rFont val="宋体"/>
        <charset val="0"/>
      </rPr>
      <t>名</t>
    </r>
  </si>
  <si>
    <r>
      <rPr>
        <sz val="10"/>
        <rFont val="宋体"/>
        <charset val="0"/>
      </rPr>
      <t>件</t>
    </r>
    <r>
      <rPr>
        <sz val="10"/>
        <rFont val="Times New Roman"/>
        <charset val="1"/>
      </rPr>
      <t xml:space="preserve">   </t>
    </r>
    <r>
      <rPr>
        <sz val="10"/>
        <rFont val="宋体"/>
        <charset val="0"/>
      </rPr>
      <t>数</t>
    </r>
  </si>
  <si>
    <r>
      <rPr>
        <sz val="10"/>
        <rFont val="宋体"/>
        <charset val="0"/>
      </rPr>
      <t>数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量</t>
    </r>
  </si>
  <si>
    <r>
      <rPr>
        <sz val="10"/>
        <rFont val="宋体"/>
        <charset val="0"/>
      </rPr>
      <t>单</t>
    </r>
    <r>
      <rPr>
        <sz val="10"/>
        <rFont val="Times New Roman"/>
        <charset val="1"/>
      </rPr>
      <t xml:space="preserve">         </t>
    </r>
    <r>
      <rPr>
        <sz val="10"/>
        <rFont val="宋体"/>
        <charset val="0"/>
      </rPr>
      <t>价</t>
    </r>
  </si>
  <si>
    <r>
      <rPr>
        <sz val="10"/>
        <rFont val="宋体"/>
        <charset val="0"/>
      </rPr>
      <t>金</t>
    </r>
    <r>
      <rPr>
        <sz val="10"/>
        <rFont val="Times New Roman"/>
        <charset val="1"/>
      </rPr>
      <t xml:space="preserve">       </t>
    </r>
    <r>
      <rPr>
        <sz val="10"/>
        <rFont val="宋体"/>
        <charset val="0"/>
      </rPr>
      <t>额</t>
    </r>
  </si>
  <si>
    <t>DESCRIPTION</t>
  </si>
  <si>
    <t>PKG</t>
  </si>
  <si>
    <t>QTY</t>
  </si>
  <si>
    <t>UNIT PRICE</t>
  </si>
  <si>
    <t>AMOUNT</t>
  </si>
  <si>
    <t>TOTAL:</t>
  </si>
  <si>
    <t>PACKING LIST</t>
  </si>
  <si>
    <t>BY SEA</t>
  </si>
  <si>
    <r>
      <rPr>
        <sz val="10"/>
        <rFont val="宋体"/>
        <charset val="0"/>
      </rPr>
      <t>毛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重</t>
    </r>
  </si>
  <si>
    <r>
      <rPr>
        <sz val="10"/>
        <rFont val="宋体"/>
        <charset val="0"/>
      </rPr>
      <t>净</t>
    </r>
    <r>
      <rPr>
        <sz val="10"/>
        <rFont val="Times New Roman"/>
        <charset val="1"/>
      </rPr>
      <t xml:space="preserve">    </t>
    </r>
    <r>
      <rPr>
        <sz val="10"/>
        <rFont val="宋体"/>
        <charset val="0"/>
      </rPr>
      <t>重</t>
    </r>
  </si>
  <si>
    <r>
      <rPr>
        <sz val="10"/>
        <rFont val="宋体"/>
        <charset val="0"/>
      </rPr>
      <t>体</t>
    </r>
    <r>
      <rPr>
        <sz val="10"/>
        <rFont val="Times New Roman"/>
        <charset val="1"/>
      </rPr>
      <t xml:space="preserve">     </t>
    </r>
    <r>
      <rPr>
        <sz val="10"/>
        <rFont val="宋体"/>
        <charset val="0"/>
      </rPr>
      <t>积</t>
    </r>
  </si>
  <si>
    <t>G.W.</t>
  </si>
  <si>
    <t>N.W.</t>
  </si>
  <si>
    <t>MEAS.</t>
  </si>
  <si>
    <t>KGS</t>
  </si>
  <si>
    <t>CBM</t>
  </si>
  <si>
    <t xml:space="preserve">        中华人民共和国海关出口货物报关单（最新版）</t>
  </si>
  <si>
    <t>预录入编号:</t>
  </si>
  <si>
    <t>海关编号:</t>
  </si>
  <si>
    <t>页码/页数：</t>
  </si>
  <si>
    <t>境内发货人</t>
  </si>
  <si>
    <t>出境关别</t>
  </si>
  <si>
    <t>出口日期</t>
  </si>
  <si>
    <t>申报日期</t>
  </si>
  <si>
    <t>备案号</t>
  </si>
  <si>
    <t>宁波海关</t>
  </si>
  <si>
    <t>境外收货人</t>
  </si>
  <si>
    <t>运输工具名称及航次号</t>
  </si>
  <si>
    <t>提运单号</t>
  </si>
  <si>
    <t>生产销售单位</t>
  </si>
  <si>
    <t>监管方式</t>
  </si>
  <si>
    <t>征免性质</t>
  </si>
  <si>
    <t>许可证号</t>
  </si>
  <si>
    <t>一般贸易</t>
  </si>
  <si>
    <t>一般征税</t>
  </si>
  <si>
    <t>合同协议号</t>
  </si>
  <si>
    <t>贸易国（地区）</t>
  </si>
  <si>
    <t>运抵国（地区）</t>
  </si>
  <si>
    <t xml:space="preserve">指运港 </t>
  </si>
  <si>
    <t>离境口岸</t>
  </si>
  <si>
    <t>运输包装种类</t>
  </si>
  <si>
    <t>件数</t>
  </si>
  <si>
    <t>其他包装种类及对应数量</t>
  </si>
  <si>
    <t>毛重（千克）</t>
  </si>
  <si>
    <t>净重（千克）</t>
  </si>
  <si>
    <t>成交方式</t>
  </si>
  <si>
    <t>运费（金额、币制）</t>
  </si>
  <si>
    <t>保费（金额、币制）</t>
  </si>
  <si>
    <t>杂费（金额、币制）</t>
  </si>
  <si>
    <t>纸箱</t>
  </si>
  <si>
    <t xml:space="preserve"> </t>
  </si>
  <si>
    <t>FOB</t>
  </si>
  <si>
    <t>随附单证及编号</t>
  </si>
  <si>
    <t>标记唛码及备注</t>
  </si>
  <si>
    <t>项号</t>
  </si>
  <si>
    <t>商品编号</t>
  </si>
  <si>
    <t>商品名称</t>
  </si>
  <si>
    <t>单位</t>
  </si>
  <si>
    <t>单价</t>
  </si>
  <si>
    <t>总价</t>
  </si>
  <si>
    <t>币制</t>
  </si>
  <si>
    <t>原产国（地区）</t>
  </si>
  <si>
    <t>最终目的国（地区）</t>
  </si>
  <si>
    <t>境内货源地</t>
  </si>
  <si>
    <t>征免</t>
  </si>
  <si>
    <t>特殊关系确认：否</t>
  </si>
  <si>
    <t>价格影响确认：否</t>
  </si>
  <si>
    <t>支付特许权使用费确认：否</t>
  </si>
  <si>
    <t>自报自缴：</t>
  </si>
  <si>
    <t>申报人员</t>
  </si>
  <si>
    <t>申报人员证号</t>
  </si>
  <si>
    <t>电话</t>
  </si>
  <si>
    <t>兹申明对以上内容承担如实申报、依法纳税之法律责任</t>
  </si>
  <si>
    <t>海关批注及签章</t>
  </si>
  <si>
    <t>申报单位</t>
  </si>
  <si>
    <t>申报单位（签章）</t>
  </si>
  <si>
    <t>SALES CONTRACT</t>
  </si>
  <si>
    <t>CONTRACT NO.:</t>
  </si>
  <si>
    <t>DATE：</t>
  </si>
  <si>
    <t xml:space="preserve">    </t>
  </si>
  <si>
    <t>THE BUYER:</t>
  </si>
  <si>
    <t xml:space="preserve">This contract is made by and between the buyers and sellers according to the terms and </t>
  </si>
  <si>
    <t>conditions stipulate below:</t>
  </si>
  <si>
    <t>Commodity and specification</t>
  </si>
  <si>
    <t>Quantity</t>
  </si>
  <si>
    <t>Unit price</t>
  </si>
  <si>
    <t>Amount</t>
  </si>
  <si>
    <t>FOB Ningbo</t>
  </si>
  <si>
    <r>
      <rPr>
        <sz val="10.5"/>
        <rFont val="宋体"/>
        <charset val="0"/>
      </rPr>
      <t>1.More or less: with  5 % more or less both in amount &amp; quantity allowed at the seller</t>
    </r>
    <r>
      <rPr>
        <sz val="10.5"/>
        <rFont val="Arial"/>
        <charset val="0"/>
      </rPr>
      <t>’</t>
    </r>
    <r>
      <rPr>
        <sz val="10.5"/>
        <rFont val="宋体"/>
        <charset val="0"/>
      </rPr>
      <t>s option.</t>
    </r>
  </si>
  <si>
    <t>2.SHIPMENT DATE:  BEFROE</t>
  </si>
  <si>
    <t>4.Insurance: ( X )to be effected by the buyers</t>
  </si>
  <si>
    <t xml:space="preserve">             (   ) to be effected by the seller for 100% of invoice value against </t>
  </si>
  <si>
    <t>F.P.A.W.ALLrisks and War Risk as per C.I.C. dated 1/1/1981</t>
  </si>
  <si>
    <t>5.Terms of payment:</t>
  </si>
  <si>
    <t xml:space="preserve"> ( X )  T/T        ( ) L/C        (   ) D/P</t>
  </si>
  <si>
    <t xml:space="preserve">6.Shipping marks:  </t>
  </si>
  <si>
    <t xml:space="preserve">
</t>
  </si>
  <si>
    <t xml:space="preserve">7.Special clause:     </t>
  </si>
  <si>
    <t xml:space="preserve">THE SELLERS                                       </t>
  </si>
  <si>
    <t>THE BUYERS</t>
  </si>
  <si>
    <t xml:space="preserve">Manager( or representative)                </t>
  </si>
  <si>
    <t>Manager(or representative)</t>
  </si>
  <si>
    <t>中文名</t>
  </si>
  <si>
    <t>英文名</t>
  </si>
  <si>
    <t>英文地址</t>
  </si>
  <si>
    <t>中文地址</t>
  </si>
  <si>
    <t>BANK DETAILS</t>
  </si>
  <si>
    <t>海关编码</t>
  </si>
  <si>
    <t>企业编码</t>
  </si>
  <si>
    <t>姓名</t>
  </si>
  <si>
    <t>叶群飞</t>
  </si>
  <si>
    <t>宁波泛太机电有限公司</t>
  </si>
  <si>
    <t xml:space="preserve">NINGBO VERTAK MECHANICAL &amp; ELECTRONIC CO.,LTD. </t>
  </si>
  <si>
    <t>ADD:# 288 Guangming Road Zhuangshi Zhenhai District Ningbo, China</t>
  </si>
  <si>
    <t>宁波镇海庄市街道光明路288号</t>
  </si>
  <si>
    <t>BANK NAME:BANK OF NINGBO
ADD:NO.700 NINGNAN SOUTH ROAD,NINGBO,P.R.CHINA,315100
SWIFT :BKNBCN2N
BEBEFICIATY：NINGBO VERTAK IMP AND EXP CO.,LTD
ACCT.NO.：52012029000021679
ADDRESS:
NO.11 GANGDONG ROAD, EAST AREA NINGBO FREE TRADE ZONE,NINGBO CHINA</t>
  </si>
  <si>
    <t>91330211756280575H</t>
  </si>
  <si>
    <t>0574-55833538</t>
  </si>
  <si>
    <t>邮箱</t>
  </si>
  <si>
    <t>yequnfei@vertak.com</t>
  </si>
  <si>
    <t>传真</t>
  </si>
  <si>
    <t>0574-55877673</t>
  </si>
  <si>
    <t>姚磊艳</t>
  </si>
  <si>
    <t>0574-55833539</t>
  </si>
  <si>
    <t>laura.yao@vertak.com</t>
  </si>
  <si>
    <t>林清</t>
  </si>
  <si>
    <t>0574-55833537</t>
  </si>
  <si>
    <t>linqing@vertak.com</t>
  </si>
  <si>
    <t>CNY</t>
  </si>
  <si>
    <t>人民币</t>
  </si>
  <si>
    <t>GBP</t>
  </si>
  <si>
    <t>英镑</t>
  </si>
  <si>
    <t>JPY</t>
  </si>
  <si>
    <t>日元</t>
  </si>
  <si>
    <t>EUR</t>
  </si>
  <si>
    <t>欧元</t>
  </si>
  <si>
    <t>HKD</t>
  </si>
  <si>
    <t>港币</t>
  </si>
  <si>
    <t>RMB</t>
  </si>
  <si>
    <t>USD</t>
  </si>
  <si>
    <t>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</si>
</sst>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USD]\ #,##0.000;[$USD]\ \-#,##0.000"/>
    <numFmt numFmtId="177" formatCode="[$USD]\ #,##0.00;[$USD]\ \-#,##0.00"/>
    <numFmt numFmtId="178" formatCode="[$-409]dd\-mmm\-yy;@"/>
    <numFmt numFmtId="179" formatCode="0.00_);[Red]\(0.00\)"/>
    <numFmt numFmtId="180" formatCode="0.000_ "/>
    <numFmt numFmtId="181" formatCode="&quot;US$&quot;#,##0.00;\-&quot;US$&quot;#,##0.00"/>
  </numFmts>
  <fonts count="52">
    <font>
      <sz val="12"/>
      <name val="宋体"/>
      <charset val="0"/>
    </font>
    <font>
      <sz val="12"/>
      <name val="宋体"/>
      <charset val="134"/>
    </font>
    <font>
      <sz val="10"/>
      <name val="宋体"/>
      <charset val="134"/>
    </font>
    <font>
      <u/>
      <sz val="12"/>
      <color indexed="12"/>
      <name val="宋体"/>
      <charset val="134"/>
    </font>
    <font>
      <sz val="22"/>
      <name val="宋体"/>
      <charset val="0"/>
    </font>
    <font>
      <sz val="22"/>
      <name val="楷体_GB2312"/>
      <charset val="134"/>
    </font>
    <font>
      <b/>
      <sz val="14"/>
      <name val="宋体"/>
      <charset val="0"/>
    </font>
    <font>
      <sz val="10.5"/>
      <name val="宋体"/>
      <charset val="0"/>
    </font>
    <font>
      <sz val="12"/>
      <name val="楷体_GB2312"/>
      <charset val="134"/>
    </font>
    <font>
      <sz val="10"/>
      <name val="宋体"/>
      <charset val="0"/>
    </font>
    <font>
      <sz val="9"/>
      <name val="微软雅黑"/>
      <charset val="134"/>
    </font>
    <font>
      <sz val="8"/>
      <name val="微软雅黑"/>
      <charset val="134"/>
    </font>
    <font>
      <sz val="12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b/>
      <sz val="12"/>
      <name val="宋体"/>
      <charset val="0"/>
    </font>
    <font>
      <b/>
      <sz val="11"/>
      <name val="微软雅黑"/>
      <charset val="134"/>
    </font>
    <font>
      <sz val="10"/>
      <name val="Verdana"/>
      <charset val="0"/>
    </font>
    <font>
      <sz val="10"/>
      <name val="微软雅黑"/>
      <charset val="134"/>
    </font>
    <font>
      <sz val="14"/>
      <name val="宋体"/>
      <charset val="0"/>
    </font>
    <font>
      <b/>
      <sz val="24"/>
      <name val="宋体"/>
      <charset val="0"/>
    </font>
    <font>
      <b/>
      <sz val="16"/>
      <name val="Times New Roman"/>
      <charset val="1"/>
    </font>
    <font>
      <sz val="10"/>
      <name val="Times New Roman"/>
      <charset val="1"/>
    </font>
    <font>
      <sz val="10.5"/>
      <name val="Times New Roman"/>
      <charset val="1"/>
    </font>
    <font>
      <b/>
      <sz val="14"/>
      <name val="Times New Roman"/>
      <charset val="1"/>
    </font>
    <font>
      <b/>
      <sz val="9"/>
      <name val="Times New Roman"/>
      <charset val="1"/>
    </font>
    <font>
      <sz val="8"/>
      <name val="Times New Roman"/>
      <charset val="1"/>
    </font>
    <font>
      <sz val="10"/>
      <name val="Arial"/>
      <charset val="0"/>
    </font>
    <font>
      <sz val="15"/>
      <name val="宋体"/>
      <charset val="0"/>
    </font>
    <font>
      <sz val="12.5"/>
      <name val="宋体"/>
      <charset val="0"/>
    </font>
    <font>
      <sz val="10"/>
      <name val="宋体-简"/>
      <charset val="0"/>
    </font>
    <font>
      <sz val="10"/>
      <name val="方正书宋_GBK"/>
      <charset val="134"/>
    </font>
    <font>
      <u/>
      <sz val="12"/>
      <color indexed="12"/>
      <name val="宋体"/>
      <charset val="0"/>
    </font>
    <font>
      <u/>
      <sz val="12"/>
      <color indexed="25"/>
      <name val="宋体"/>
      <charset val="0"/>
    </font>
    <font>
      <sz val="11"/>
      <color indexed="10"/>
      <name val="等线"/>
      <charset val="134"/>
    </font>
    <font>
      <sz val="18"/>
      <color indexed="54"/>
      <name val="等线 Light"/>
      <charset val="0"/>
    </font>
    <font>
      <i/>
      <sz val="11"/>
      <color indexed="23"/>
      <name val="等线"/>
      <charset val="134"/>
    </font>
    <font>
      <b/>
      <sz val="15"/>
      <color indexed="54"/>
      <name val="等线"/>
      <charset val="134"/>
    </font>
    <font>
      <b/>
      <sz val="13"/>
      <color indexed="54"/>
      <name val="等线"/>
      <charset val="134"/>
    </font>
    <font>
      <b/>
      <sz val="11"/>
      <color indexed="54"/>
      <name val="等线"/>
      <charset val="134"/>
    </font>
    <font>
      <sz val="11"/>
      <color indexed="62"/>
      <name val="等线"/>
      <charset val="134"/>
    </font>
    <font>
      <b/>
      <sz val="11"/>
      <color indexed="63"/>
      <name val="等线"/>
      <charset val="134"/>
    </font>
    <font>
      <b/>
      <sz val="11"/>
      <color indexed="53"/>
      <name val="等线"/>
      <charset val="134"/>
    </font>
    <font>
      <b/>
      <sz val="11"/>
      <color indexed="9"/>
      <name val="等线"/>
      <charset val="134"/>
    </font>
    <font>
      <sz val="11"/>
      <color indexed="53"/>
      <name val="等线"/>
      <charset val="134"/>
    </font>
    <font>
      <b/>
      <sz val="11"/>
      <color indexed="8"/>
      <name val="等线"/>
      <charset val="134"/>
    </font>
    <font>
      <sz val="11"/>
      <color indexed="17"/>
      <name val="等线"/>
      <charset val="134"/>
    </font>
    <font>
      <sz val="11"/>
      <color indexed="16"/>
      <name val="等线"/>
      <charset val="134"/>
    </font>
    <font>
      <sz val="11"/>
      <color indexed="60"/>
      <name val="等线"/>
      <charset val="134"/>
    </font>
    <font>
      <sz val="11"/>
      <color indexed="9"/>
      <name val="等线"/>
      <charset val="134"/>
    </font>
    <font>
      <sz val="11"/>
      <color indexed="8"/>
      <name val="等线"/>
      <charset val="134"/>
    </font>
    <font>
      <sz val="10.5"/>
      <name val="Arial"/>
      <charset val="0"/>
    </font>
  </fonts>
  <fills count="2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center"/>
    </xf>
    <xf numFmtId="0" fontId="0" fillId="7" borderId="3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32" applyNumberFormat="0" applyFill="0" applyAlignment="0" applyProtection="0">
      <alignment vertical="center"/>
    </xf>
    <xf numFmtId="0" fontId="38" fillId="0" borderId="33" applyNumberFormat="0" applyFill="0" applyAlignment="0" applyProtection="0">
      <alignment vertical="center"/>
    </xf>
    <xf numFmtId="0" fontId="39" fillId="0" borderId="34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8" borderId="35" applyNumberFormat="0" applyAlignment="0" applyProtection="0">
      <alignment vertical="center"/>
    </xf>
    <xf numFmtId="0" fontId="41" fillId="3" borderId="36" applyNumberFormat="0" applyAlignment="0" applyProtection="0">
      <alignment vertical="center"/>
    </xf>
    <xf numFmtId="0" fontId="42" fillId="3" borderId="35" applyNumberFormat="0" applyAlignment="0" applyProtection="0">
      <alignment vertical="center"/>
    </xf>
    <xf numFmtId="0" fontId="43" fillId="9" borderId="37" applyNumberFormat="0" applyAlignment="0" applyProtection="0">
      <alignment vertical="center"/>
    </xf>
    <xf numFmtId="0" fontId="44" fillId="0" borderId="38" applyNumberFormat="0" applyFill="0" applyAlignment="0" applyProtection="0">
      <alignment vertical="center"/>
    </xf>
    <xf numFmtId="0" fontId="45" fillId="0" borderId="39" applyNumberFormat="0" applyFill="0" applyAlignment="0" applyProtection="0">
      <alignment vertical="center"/>
    </xf>
    <xf numFmtId="0" fontId="46" fillId="6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50" fillId="3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7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8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6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/>
    <xf numFmtId="0" fontId="0" fillId="0" borderId="0"/>
    <xf numFmtId="0" fontId="0" fillId="0" borderId="0"/>
    <xf numFmtId="0" fontId="0" fillId="0" borderId="0"/>
  </cellStyleXfs>
  <cellXfs count="20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3" fillId="0" borderId="0" xfId="6" applyFont="1" applyAlignment="1" applyProtection="1">
      <alignment vertical="center"/>
    </xf>
    <xf numFmtId="0" fontId="0" fillId="0" borderId="0" xfId="0" applyAlignment="1"/>
    <xf numFmtId="0" fontId="4" fillId="0" borderId="0" xfId="0" applyFont="1" applyAlignment="1">
      <alignment horizontal="center" vertical="center"/>
    </xf>
    <xf numFmtId="0" fontId="5" fillId="0" borderId="0" xfId="49" applyFont="1" applyAlignment="1">
      <alignment horizontal="center"/>
    </xf>
    <xf numFmtId="0" fontId="6" fillId="0" borderId="0" xfId="49" applyFont="1" applyAlignment="1">
      <alignment horizontal="center"/>
    </xf>
    <xf numFmtId="0" fontId="7" fillId="0" borderId="0" xfId="49" applyFont="1" applyAlignment="1">
      <alignment horizontal="left"/>
    </xf>
    <xf numFmtId="0" fontId="0" fillId="0" borderId="0" xfId="49" applyAlignment="1">
      <alignment horizontal="left"/>
    </xf>
    <xf numFmtId="14" fontId="7" fillId="0" borderId="0" xfId="49" applyNumberFormat="1" applyFont="1" applyAlignment="1">
      <alignment horizontal="left"/>
    </xf>
    <xf numFmtId="14" fontId="0" fillId="0" borderId="0" xfId="49" applyNumberFormat="1" applyAlignment="1">
      <alignment horizontal="left"/>
    </xf>
    <xf numFmtId="0" fontId="8" fillId="0" borderId="0" xfId="49" applyFont="1" applyAlignment="1">
      <alignment vertical="top" wrapText="1"/>
    </xf>
    <xf numFmtId="0" fontId="0" fillId="0" borderId="0" xfId="49" applyAlignment="1">
      <alignment vertical="top" wrapText="1"/>
    </xf>
    <xf numFmtId="0" fontId="7" fillId="0" borderId="1" xfId="49" applyFont="1" applyBorder="1" applyAlignment="1">
      <alignment horizontal="left"/>
    </xf>
    <xf numFmtId="0" fontId="7" fillId="0" borderId="2" xfId="49" applyFont="1" applyBorder="1" applyAlignment="1">
      <alignment horizontal="left"/>
    </xf>
    <xf numFmtId="0" fontId="7" fillId="0" borderId="3" xfId="49" applyFont="1" applyBorder="1" applyAlignment="1">
      <alignment horizontal="left"/>
    </xf>
    <xf numFmtId="0" fontId="7" fillId="0" borderId="4" xfId="49" applyFont="1" applyBorder="1" applyAlignment="1">
      <alignment horizontal="center"/>
    </xf>
    <xf numFmtId="0" fontId="7" fillId="0" borderId="5" xfId="49" applyFont="1" applyBorder="1" applyAlignment="1">
      <alignment horizontal="center"/>
    </xf>
    <xf numFmtId="0" fontId="7" fillId="0" borderId="6" xfId="49" applyFont="1" applyBorder="1" applyAlignment="1">
      <alignment horizontal="left"/>
    </xf>
    <xf numFmtId="0" fontId="7" fillId="0" borderId="7" xfId="49" applyFont="1" applyBorder="1" applyAlignment="1">
      <alignment horizontal="center"/>
    </xf>
    <xf numFmtId="0" fontId="7" fillId="0" borderId="8" xfId="49" applyFont="1" applyBorder="1" applyAlignment="1">
      <alignment horizontal="center"/>
    </xf>
    <xf numFmtId="0" fontId="7" fillId="0" borderId="4" xfId="49" applyFont="1" applyBorder="1" applyAlignment="1">
      <alignment horizontal="left"/>
    </xf>
    <xf numFmtId="0" fontId="7" fillId="0" borderId="5" xfId="49" applyFont="1" applyBorder="1" applyAlignment="1">
      <alignment horizontal="left"/>
    </xf>
    <xf numFmtId="0" fontId="7" fillId="0" borderId="0" xfId="49" applyFont="1" applyBorder="1" applyAlignment="1">
      <alignment horizontal="left"/>
    </xf>
    <xf numFmtId="0" fontId="7" fillId="0" borderId="9" xfId="49" applyFont="1" applyBorder="1" applyAlignment="1">
      <alignment horizontal="left"/>
    </xf>
    <xf numFmtId="0" fontId="9" fillId="0" borderId="0" xfId="0" applyFont="1" applyAlignment="1">
      <alignment horizontal="right"/>
    </xf>
    <xf numFmtId="0" fontId="9" fillId="0" borderId="8" xfId="0" applyFont="1" applyBorder="1" applyAlignment="1">
      <alignment horizontal="left"/>
    </xf>
    <xf numFmtId="176" fontId="7" fillId="0" borderId="0" xfId="49" applyNumberFormat="1" applyFont="1" applyBorder="1" applyAlignment="1">
      <alignment horizontal="left"/>
    </xf>
    <xf numFmtId="176" fontId="7" fillId="0" borderId="10" xfId="49" applyNumberFormat="1" applyFont="1" applyBorder="1" applyAlignment="1">
      <alignment horizontal="left"/>
    </xf>
    <xf numFmtId="0" fontId="7" fillId="0" borderId="11" xfId="49" applyFont="1" applyBorder="1" applyAlignment="1">
      <alignment horizontal="center"/>
    </xf>
    <xf numFmtId="0" fontId="7" fillId="0" borderId="12" xfId="49" applyFont="1" applyBorder="1" applyAlignment="1">
      <alignment horizontal="center"/>
    </xf>
    <xf numFmtId="0" fontId="0" fillId="0" borderId="11" xfId="49" applyBorder="1" applyAlignment="1">
      <alignment horizontal="left"/>
    </xf>
    <xf numFmtId="0" fontId="9" fillId="0" borderId="12" xfId="0" applyFont="1" applyBorder="1" applyAlignment="1">
      <alignment horizontal="left"/>
    </xf>
    <xf numFmtId="177" fontId="7" fillId="0" borderId="13" xfId="49" applyNumberFormat="1" applyFont="1" applyBorder="1" applyAlignment="1">
      <alignment horizontal="left"/>
    </xf>
    <xf numFmtId="0" fontId="0" fillId="0" borderId="0" xfId="49" applyFont="1" applyAlignment="1">
      <alignment horizontal="left"/>
    </xf>
    <xf numFmtId="0" fontId="7" fillId="0" borderId="0" xfId="49" applyFont="1" applyAlignment="1">
      <alignment horizontal="left" wrapText="1"/>
    </xf>
    <xf numFmtId="178" fontId="0" fillId="2" borderId="0" xfId="49" applyNumberFormat="1" applyFill="1" applyAlignment="1">
      <alignment horizontal="left"/>
    </xf>
    <xf numFmtId="0" fontId="7" fillId="2" borderId="0" xfId="49" applyFont="1" applyFill="1" applyAlignment="1">
      <alignment horizontal="left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14" fillId="3" borderId="14" xfId="0" applyFont="1" applyFill="1" applyBorder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4" fillId="3" borderId="15" xfId="0" applyFont="1" applyFill="1" applyBorder="1" applyAlignment="1">
      <alignment horizontal="left" vertical="center"/>
    </xf>
    <xf numFmtId="0" fontId="14" fillId="3" borderId="16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center"/>
    </xf>
    <xf numFmtId="0" fontId="15" fillId="3" borderId="17" xfId="0" applyFont="1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14" fillId="3" borderId="18" xfId="0" applyFont="1" applyFill="1" applyBorder="1" applyAlignment="1">
      <alignment horizontal="left" vertical="center"/>
    </xf>
    <xf numFmtId="0" fontId="10" fillId="3" borderId="19" xfId="0" applyNumberFormat="1" applyFont="1" applyFill="1" applyBorder="1" applyAlignment="1">
      <alignment horizontal="left" vertical="center"/>
    </xf>
    <xf numFmtId="0" fontId="0" fillId="3" borderId="20" xfId="0" applyNumberForma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left" vertical="center"/>
    </xf>
    <xf numFmtId="0" fontId="0" fillId="3" borderId="20" xfId="0" applyFill="1" applyBorder="1" applyAlignment="1">
      <alignment horizontal="left" vertical="center"/>
    </xf>
    <xf numFmtId="0" fontId="0" fillId="3" borderId="21" xfId="0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/>
    </xf>
    <xf numFmtId="14" fontId="10" fillId="3" borderId="19" xfId="0" applyNumberFormat="1" applyFont="1" applyFill="1" applyBorder="1" applyAlignment="1">
      <alignment horizontal="left" vertical="center"/>
    </xf>
    <xf numFmtId="14" fontId="10" fillId="3" borderId="21" xfId="0" applyNumberFormat="1" applyFont="1" applyFill="1" applyBorder="1" applyAlignment="1">
      <alignment horizontal="left" vertical="center"/>
    </xf>
    <xf numFmtId="0" fontId="10" fillId="3" borderId="21" xfId="0" applyFont="1" applyFill="1" applyBorder="1" applyAlignment="1">
      <alignment horizontal="left" vertical="center"/>
    </xf>
    <xf numFmtId="0" fontId="10" fillId="2" borderId="19" xfId="0" applyFont="1" applyFill="1" applyBorder="1" applyAlignment="1">
      <alignment horizontal="left" vertical="center"/>
    </xf>
    <xf numFmtId="0" fontId="10" fillId="2" borderId="21" xfId="0" applyFont="1" applyFill="1" applyBorder="1" applyAlignment="1">
      <alignment horizontal="left" vertical="center"/>
    </xf>
    <xf numFmtId="0" fontId="10" fillId="2" borderId="2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23" xfId="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horizontal="left" vertical="center"/>
    </xf>
    <xf numFmtId="0" fontId="10" fillId="3" borderId="23" xfId="0" applyFont="1" applyFill="1" applyBorder="1" applyAlignment="1">
      <alignment horizontal="left" vertical="center"/>
    </xf>
    <xf numFmtId="0" fontId="10" fillId="3" borderId="24" xfId="0" applyFont="1" applyFill="1" applyBorder="1" applyAlignment="1">
      <alignment horizontal="left" vertical="center"/>
    </xf>
    <xf numFmtId="0" fontId="14" fillId="3" borderId="18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left" vertical="center"/>
    </xf>
    <xf numFmtId="0" fontId="10" fillId="2" borderId="26" xfId="0" applyFont="1" applyFill="1" applyBorder="1" applyAlignment="1">
      <alignment horizontal="left" vertical="center"/>
    </xf>
    <xf numFmtId="0" fontId="10" fillId="3" borderId="26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left" vertical="center"/>
    </xf>
    <xf numFmtId="0" fontId="14" fillId="3" borderId="25" xfId="0" applyFont="1" applyFill="1" applyBorder="1" applyAlignment="1">
      <alignment horizontal="left" vertical="center"/>
    </xf>
    <xf numFmtId="0" fontId="14" fillId="3" borderId="26" xfId="0" applyFont="1" applyFill="1" applyBorder="1" applyAlignment="1">
      <alignment horizontal="left" vertical="center"/>
    </xf>
    <xf numFmtId="179" fontId="16" fillId="3" borderId="22" xfId="0" applyNumberFormat="1" applyFont="1" applyFill="1" applyBorder="1" applyAlignment="1">
      <alignment horizontal="left" vertical="center"/>
    </xf>
    <xf numFmtId="179" fontId="16" fillId="3" borderId="0" xfId="0" applyNumberFormat="1" applyFont="1" applyFill="1" applyAlignment="1">
      <alignment horizontal="left" vertical="center"/>
    </xf>
    <xf numFmtId="179" fontId="16" fillId="3" borderId="23" xfId="0" applyNumberFormat="1" applyFont="1" applyFill="1" applyBorder="1" applyAlignment="1">
      <alignment horizontal="left" vertical="center"/>
    </xf>
    <xf numFmtId="179" fontId="10" fillId="3" borderId="0" xfId="0" applyNumberFormat="1" applyFont="1" applyFill="1" applyAlignment="1">
      <alignment horizontal="left" vertical="center"/>
    </xf>
    <xf numFmtId="179" fontId="10" fillId="0" borderId="0" xfId="0" applyNumberFormat="1" applyFont="1" applyAlignment="1">
      <alignment horizontal="left" vertical="center"/>
    </xf>
    <xf numFmtId="0" fontId="14" fillId="3" borderId="27" xfId="0" applyFont="1" applyFill="1" applyBorder="1" applyAlignment="1">
      <alignment horizontal="left" vertical="center"/>
    </xf>
    <xf numFmtId="0" fontId="14" fillId="3" borderId="19" xfId="0" applyFont="1" applyFill="1" applyBorder="1" applyAlignment="1">
      <alignment horizontal="left" vertical="center"/>
    </xf>
    <xf numFmtId="0" fontId="14" fillId="3" borderId="21" xfId="0" applyFont="1" applyFill="1" applyBorder="1" applyAlignment="1">
      <alignment horizontal="left" vertical="center"/>
    </xf>
    <xf numFmtId="0" fontId="17" fillId="3" borderId="27" xfId="50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 shrinkToFit="1"/>
    </xf>
    <xf numFmtId="0" fontId="10" fillId="3" borderId="15" xfId="0" applyFont="1" applyFill="1" applyBorder="1" applyAlignment="1">
      <alignment vertical="center" wrapText="1" shrinkToFit="1"/>
    </xf>
    <xf numFmtId="0" fontId="10" fillId="3" borderId="17" xfId="0" applyFont="1" applyFill="1" applyBorder="1" applyAlignment="1">
      <alignment vertical="center" wrapText="1" shrinkToFit="1"/>
    </xf>
    <xf numFmtId="0" fontId="10" fillId="3" borderId="27" xfId="0" applyFont="1" applyFill="1" applyBorder="1" applyAlignment="1">
      <alignment horizontal="left" vertical="center" wrapText="1" shrinkToFit="1"/>
    </xf>
    <xf numFmtId="180" fontId="9" fillId="3" borderId="27" xfId="50" applyNumberFormat="1" applyFont="1" applyFill="1" applyBorder="1" applyAlignment="1">
      <alignment horizontal="left" vertical="center"/>
    </xf>
    <xf numFmtId="0" fontId="10" fillId="3" borderId="27" xfId="0" applyFont="1" applyFill="1" applyBorder="1" applyAlignment="1">
      <alignment horizontal="left" vertical="center"/>
    </xf>
    <xf numFmtId="0" fontId="18" fillId="3" borderId="27" xfId="50" applyFont="1" applyFill="1" applyBorder="1" applyAlignment="1">
      <alignment horizontal="left" vertical="center"/>
    </xf>
    <xf numFmtId="181" fontId="10" fillId="3" borderId="27" xfId="0" applyNumberFormat="1" applyFont="1" applyFill="1" applyBorder="1" applyAlignment="1">
      <alignment horizontal="left" vertical="center" shrinkToFit="1"/>
    </xf>
    <xf numFmtId="0" fontId="18" fillId="3" borderId="15" xfId="50" applyFont="1" applyFill="1" applyBorder="1" applyAlignment="1">
      <alignment horizontal="left" vertical="center"/>
    </xf>
    <xf numFmtId="0" fontId="18" fillId="3" borderId="17" xfId="50" applyFont="1" applyFill="1" applyBorder="1" applyAlignment="1">
      <alignment horizontal="left" vertical="center"/>
    </xf>
    <xf numFmtId="0" fontId="10" fillId="3" borderId="22" xfId="0" applyFont="1" applyFill="1" applyBorder="1" applyAlignment="1">
      <alignment vertical="center" wrapText="1" shrinkToFit="1"/>
    </xf>
    <xf numFmtId="0" fontId="10" fillId="3" borderId="23" xfId="0" applyFont="1" applyFill="1" applyBorder="1" applyAlignment="1">
      <alignment vertical="center" wrapText="1" shrinkToFit="1"/>
    </xf>
    <xf numFmtId="180" fontId="17" fillId="3" borderId="27" xfId="50" applyNumberFormat="1" applyFont="1" applyFill="1" applyBorder="1" applyAlignment="1">
      <alignment horizontal="left" vertical="center"/>
    </xf>
    <xf numFmtId="0" fontId="18" fillId="3" borderId="22" xfId="50" applyFont="1" applyFill="1" applyBorder="1" applyAlignment="1">
      <alignment horizontal="left" vertical="center"/>
    </xf>
    <xf numFmtId="0" fontId="18" fillId="3" borderId="23" xfId="5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vertical="center" wrapText="1" shrinkToFit="1"/>
    </xf>
    <xf numFmtId="0" fontId="10" fillId="3" borderId="26" xfId="0" applyFont="1" applyFill="1" applyBorder="1" applyAlignment="1">
      <alignment vertical="center" wrapText="1" shrinkToFit="1"/>
    </xf>
    <xf numFmtId="0" fontId="18" fillId="3" borderId="25" xfId="50" applyFont="1" applyFill="1" applyBorder="1" applyAlignment="1">
      <alignment horizontal="left" vertical="center"/>
    </xf>
    <xf numFmtId="0" fontId="18" fillId="3" borderId="26" xfId="50" applyFont="1" applyFill="1" applyBorder="1" applyAlignment="1">
      <alignment horizontal="left" vertical="center"/>
    </xf>
    <xf numFmtId="0" fontId="14" fillId="3" borderId="20" xfId="0" applyFont="1" applyFill="1" applyBorder="1" applyAlignment="1">
      <alignment horizontal="left" vertical="center"/>
    </xf>
    <xf numFmtId="0" fontId="14" fillId="3" borderId="17" xfId="0" applyFont="1" applyFill="1" applyBorder="1" applyAlignment="1">
      <alignment horizontal="left" vertical="top"/>
    </xf>
    <xf numFmtId="0" fontId="14" fillId="3" borderId="0" xfId="0" applyFont="1" applyFill="1" applyAlignment="1">
      <alignment horizontal="left" vertical="top"/>
    </xf>
    <xf numFmtId="0" fontId="14" fillId="3" borderId="23" xfId="0" applyFont="1" applyFill="1" applyBorder="1" applyAlignment="1">
      <alignment horizontal="left" vertical="top"/>
    </xf>
    <xf numFmtId="0" fontId="14" fillId="3" borderId="14" xfId="0" applyFont="1" applyFill="1" applyBorder="1" applyAlignment="1">
      <alignment horizontal="left" vertical="top"/>
    </xf>
    <xf numFmtId="0" fontId="14" fillId="3" borderId="26" xfId="0" applyFont="1" applyFill="1" applyBorder="1" applyAlignment="1">
      <alignment horizontal="left" vertical="top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80" fontId="0" fillId="0" borderId="0" xfId="0" applyNumberFormat="1" applyAlignment="1"/>
    <xf numFmtId="0" fontId="20" fillId="0" borderId="0" xfId="0" applyFont="1" applyAlignment="1">
      <alignment horizontal="center"/>
    </xf>
    <xf numFmtId="180" fontId="20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80" fontId="21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180" fontId="22" fillId="0" borderId="0" xfId="0" applyNumberFormat="1" applyFont="1" applyAlignment="1">
      <alignment horizontal="center"/>
    </xf>
    <xf numFmtId="0" fontId="23" fillId="0" borderId="0" xfId="0" applyFont="1" applyAlignment="1"/>
    <xf numFmtId="0" fontId="24" fillId="0" borderId="0" xfId="0" applyFont="1" applyAlignment="1">
      <alignment horizontal="center"/>
    </xf>
    <xf numFmtId="180" fontId="24" fillId="0" borderId="0" xfId="0" applyNumberFormat="1" applyFont="1" applyAlignment="1">
      <alignment horizontal="center"/>
    </xf>
    <xf numFmtId="0" fontId="9" fillId="0" borderId="0" xfId="0" applyFont="1" applyAlignment="1"/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180" fontId="0" fillId="0" borderId="0" xfId="0" applyNumberFormat="1" applyAlignment="1">
      <alignment horizontal="left"/>
    </xf>
    <xf numFmtId="0" fontId="25" fillId="0" borderId="0" xfId="0" applyFont="1" applyAlignment="1"/>
    <xf numFmtId="0" fontId="0" fillId="0" borderId="14" xfId="0" applyBorder="1" applyAlignment="1">
      <alignment horizontal="left"/>
    </xf>
    <xf numFmtId="0" fontId="25" fillId="0" borderId="0" xfId="0" applyFont="1" applyAlignment="1">
      <alignment horizontal="center"/>
    </xf>
    <xf numFmtId="180" fontId="0" fillId="0" borderId="14" xfId="0" applyNumberFormat="1" applyBorder="1" applyAlignment="1">
      <alignment horizontal="left"/>
    </xf>
    <xf numFmtId="0" fontId="9" fillId="0" borderId="16" xfId="0" applyFont="1" applyBorder="1" applyAlignment="1">
      <alignment horizontal="left"/>
    </xf>
    <xf numFmtId="14" fontId="0" fillId="0" borderId="16" xfId="0" applyNumberFormat="1" applyBorder="1" applyAlignment="1">
      <alignment horizontal="left"/>
    </xf>
    <xf numFmtId="180" fontId="0" fillId="0" borderId="16" xfId="0" applyNumberForma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25" fillId="0" borderId="14" xfId="0" applyFont="1" applyBorder="1" applyAlignment="1"/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180" fontId="9" fillId="0" borderId="24" xfId="0" applyNumberFormat="1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180" fontId="25" fillId="0" borderId="24" xfId="0" applyNumberFormat="1" applyFont="1" applyBorder="1" applyAlignment="1">
      <alignment horizontal="center"/>
    </xf>
    <xf numFmtId="0" fontId="9" fillId="0" borderId="28" xfId="0" applyFont="1" applyBorder="1" applyAlignment="1"/>
    <xf numFmtId="0" fontId="9" fillId="0" borderId="26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22" fillId="0" borderId="28" xfId="0" applyFont="1" applyBorder="1" applyAlignment="1">
      <alignment horizontal="center"/>
    </xf>
    <xf numFmtId="180" fontId="9" fillId="0" borderId="28" xfId="0" applyNumberFormat="1" applyFont="1" applyBorder="1" applyAlignment="1">
      <alignment horizontal="center"/>
    </xf>
    <xf numFmtId="0" fontId="9" fillId="0" borderId="22" xfId="0" applyFont="1" applyBorder="1" applyAlignment="1"/>
    <xf numFmtId="0" fontId="9" fillId="0" borderId="22" xfId="0" applyFont="1" applyBorder="1" applyAlignment="1">
      <alignment horizontal="center"/>
    </xf>
    <xf numFmtId="0" fontId="22" fillId="0" borderId="24" xfId="0" applyFont="1" applyBorder="1" applyAlignment="1">
      <alignment horizontal="center"/>
    </xf>
    <xf numFmtId="180" fontId="9" fillId="0" borderId="18" xfId="0" applyNumberFormat="1" applyFont="1" applyBorder="1" applyAlignment="1">
      <alignment horizontal="center"/>
    </xf>
    <xf numFmtId="0" fontId="9" fillId="0" borderId="24" xfId="0" applyFont="1" applyBorder="1" applyAlignment="1">
      <alignment horizontal="left"/>
    </xf>
    <xf numFmtId="0" fontId="9" fillId="0" borderId="23" xfId="0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0" fontId="9" fillId="0" borderId="24" xfId="0" applyFont="1" applyBorder="1" applyAlignment="1"/>
    <xf numFmtId="0" fontId="9" fillId="0" borderId="16" xfId="0" applyFont="1" applyBorder="1" applyAlignment="1"/>
    <xf numFmtId="0" fontId="9" fillId="0" borderId="16" xfId="0" applyFont="1" applyBorder="1" applyAlignment="1">
      <alignment horizontal="right"/>
    </xf>
    <xf numFmtId="180" fontId="9" fillId="0" borderId="16" xfId="0" applyNumberFormat="1" applyFont="1" applyBorder="1" applyAlignment="1"/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14" xfId="0" applyFill="1" applyBorder="1" applyAlignment="1">
      <alignment horizontal="left"/>
    </xf>
    <xf numFmtId="0" fontId="9" fillId="0" borderId="17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49" fontId="26" fillId="0" borderId="0" xfId="0" applyNumberFormat="1" applyFont="1" applyAlignment="1">
      <alignment horizontal="center" vertical="center"/>
    </xf>
    <xf numFmtId="49" fontId="26" fillId="0" borderId="23" xfId="0" applyNumberFormat="1" applyFont="1" applyBorder="1" applyAlignment="1">
      <alignment horizontal="center" vertical="center"/>
    </xf>
    <xf numFmtId="0" fontId="25" fillId="0" borderId="18" xfId="0" applyFont="1" applyBorder="1" applyAlignment="1">
      <alignment horizontal="center"/>
    </xf>
    <xf numFmtId="0" fontId="9" fillId="0" borderId="22" xfId="0" applyFont="1" applyBorder="1" applyAlignment="1">
      <alignment horizontal="left"/>
    </xf>
    <xf numFmtId="0" fontId="9" fillId="0" borderId="22" xfId="0" applyFont="1" applyBorder="1" applyAlignment="1">
      <alignment horizontal="right"/>
    </xf>
    <xf numFmtId="0" fontId="9" fillId="0" borderId="23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176" fontId="9" fillId="0" borderId="23" xfId="49" applyNumberFormat="1" applyFont="1" applyBorder="1" applyAlignment="1">
      <alignment horizontal="left"/>
    </xf>
    <xf numFmtId="176" fontId="22" fillId="0" borderId="23" xfId="0" applyNumberFormat="1" applyFont="1" applyBorder="1" applyAlignment="1">
      <alignment horizontal="center"/>
    </xf>
    <xf numFmtId="0" fontId="0" fillId="0" borderId="23" xfId="0" applyBorder="1" applyAlignment="1"/>
    <xf numFmtId="0" fontId="0" fillId="0" borderId="16" xfId="0" applyBorder="1" applyAlignment="1"/>
    <xf numFmtId="0" fontId="0" fillId="0" borderId="16" xfId="0" applyBorder="1" applyAlignment="1">
      <alignment horizontal="right"/>
    </xf>
    <xf numFmtId="177" fontId="9" fillId="0" borderId="16" xfId="0" applyNumberFormat="1" applyFont="1" applyBorder="1" applyAlignment="1">
      <alignment horizontal="right"/>
    </xf>
    <xf numFmtId="0" fontId="9" fillId="0" borderId="0" xfId="0" applyFont="1" applyAlignment="1">
      <alignment horizontal="left" vertical="center" wrapText="1"/>
    </xf>
    <xf numFmtId="177" fontId="9" fillId="0" borderId="0" xfId="0" applyNumberFormat="1" applyFont="1" applyAlignment="1"/>
    <xf numFmtId="0" fontId="27" fillId="0" borderId="0" xfId="0" applyFont="1" applyFill="1" applyAlignment="1"/>
    <xf numFmtId="0" fontId="28" fillId="4" borderId="0" xfId="0" applyFont="1" applyFill="1" applyAlignment="1">
      <alignment horizontal="center" vertical="center"/>
    </xf>
    <xf numFmtId="0" fontId="29" fillId="5" borderId="0" xfId="0" applyFont="1" applyFill="1" applyAlignment="1">
      <alignment horizontal="center" vertical="center"/>
    </xf>
    <xf numFmtId="0" fontId="9" fillId="6" borderId="29" xfId="0" applyFont="1" applyFill="1" applyBorder="1" applyAlignment="1">
      <alignment horizontal="left" vertical="center"/>
    </xf>
    <xf numFmtId="0" fontId="27" fillId="0" borderId="0" xfId="0" applyFont="1" applyFill="1" applyBorder="1" applyAlignment="1"/>
    <xf numFmtId="0" fontId="30" fillId="0" borderId="0" xfId="0" applyFont="1" applyFill="1" applyBorder="1" applyAlignment="1"/>
    <xf numFmtId="0" fontId="27" fillId="0" borderId="0" xfId="0" applyFont="1" applyFill="1" applyBorder="1" applyAlignment="1">
      <alignment horizontal="right"/>
    </xf>
    <xf numFmtId="0" fontId="9" fillId="4" borderId="30" xfId="0" applyFont="1" applyFill="1" applyBorder="1" applyAlignment="1">
      <alignment horizontal="center" vertical="center"/>
    </xf>
    <xf numFmtId="0" fontId="31" fillId="0" borderId="0" xfId="0" applyFont="1" applyFill="1" applyAlignment="1"/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4" xfId="50"/>
    <cellStyle name="常规 2 3 2 2" xfId="51"/>
    <cellStyle name="常规 2 2 2 2 2 2" xfId="52"/>
    <cellStyle name="常规 2 2 2" xfId="5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9999CC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FF"/>
      <color rgb="009999CC"/>
      <color rgb="00FFFF00"/>
      <color rgb="00C0C0C0"/>
      <color rgb="00CCFFCC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3</xdr:col>
      <xdr:colOff>409575</xdr:colOff>
      <xdr:row>16</xdr:row>
      <xdr:rowOff>123825</xdr:rowOff>
    </xdr:to>
    <xdr:pic>
      <xdr:nvPicPr>
        <xdr:cNvPr id="6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57625" y="3060700"/>
          <a:ext cx="2305050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877570</xdr:colOff>
      <xdr:row>10</xdr:row>
      <xdr:rowOff>152400</xdr:rowOff>
    </xdr:from>
    <xdr:to>
      <xdr:col>3</xdr:col>
      <xdr:colOff>3427730</xdr:colOff>
      <xdr:row>18</xdr:row>
      <xdr:rowOff>85725</xdr:rowOff>
    </xdr:to>
    <xdr:pic>
      <xdr:nvPicPr>
        <xdr:cNvPr id="7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30670" y="3022600"/>
          <a:ext cx="2550160" cy="1457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"/>
  <sheetViews>
    <sheetView tabSelected="1" zoomScaleSheetLayoutView="60" workbookViewId="0">
      <pane ySplit="1" topLeftCell="A2" activePane="bottomLeft" state="frozen"/>
      <selection/>
      <selection pane="bottomLeft" activeCell="A1" sqref="A1:H1"/>
    </sheetView>
  </sheetViews>
  <sheetFormatPr defaultColWidth="9.125" defaultRowHeight="12.5"/>
  <cols>
    <col min="1" max="1" width="15.625" style="199" customWidth="1"/>
    <col min="2" max="2" width="31.25" style="199" customWidth="1"/>
    <col min="3" max="3" width="15.625" style="199" customWidth="1"/>
    <col min="4" max="4" width="31.25" style="199" customWidth="1"/>
    <col min="5" max="5" width="15.625" style="199" customWidth="1"/>
    <col min="6" max="6" width="31.25" style="199" customWidth="1"/>
    <col min="7" max="7" width="15.625" style="199" customWidth="1"/>
    <col min="8" max="8" width="31.25" style="199" customWidth="1"/>
    <col min="9" max="16384" width="9.125" style="199"/>
  </cols>
  <sheetData>
    <row r="1" ht="20" customHeight="1" spans="1:25">
      <c r="A1" s="200" t="s">
        <v>0</v>
      </c>
    </row>
    <row r="2" s="199" customFormat="1" ht="17.5" customHeight="1" spans="1:25">
      <c r="A2" s="201" t="s">
        <v>1</v>
      </c>
    </row>
    <row r="3" s="199" customFormat="1" ht="13" spans="1:25">
      <c r="A3" s="202" t="s">
        <v>2</v>
      </c>
      <c r="B3" s="203" t="s">
        <v>3</v>
      </c>
      <c r="C3" s="202" t="s">
        <v>4</v>
      </c>
      <c r="D3" s="203" t="s">
        <v>5</v>
      </c>
      <c r="E3" s="202" t="s">
        <v>6</v>
      </c>
      <c r="F3" s="203" t="s">
        <v>7</v>
      </c>
      <c r="G3" s="202" t="s">
        <v>8</v>
      </c>
      <c r="H3" s="203" t="s">
        <v>9</v>
      </c>
    </row>
    <row r="4" s="199" customFormat="1" ht="13" spans="1:25">
      <c r="A4" s="202" t="s">
        <v>10</v>
      </c>
      <c r="B4" s="203" t="s">
        <v>11</v>
      </c>
      <c r="C4" s="202" t="s">
        <v>12</v>
      </c>
      <c r="D4" s="203" t="s">
        <v>13</v>
      </c>
      <c r="E4" s="202" t="s">
        <v>14</v>
      </c>
      <c r="F4" s="203" t="s">
        <v>13</v>
      </c>
      <c r="G4" s="202" t="s">
        <v>15</v>
      </c>
      <c r="H4" s="203" t="s">
        <v>16</v>
      </c>
    </row>
    <row r="5" s="199" customFormat="1" ht="13" spans="1:25">
      <c r="A5" s="202" t="s">
        <v>17</v>
      </c>
      <c r="B5" s="203" t="s">
        <v>18</v>
      </c>
      <c r="C5" s="202" t="s">
        <v>19</v>
      </c>
      <c r="D5" s="203" t="s">
        <v>20</v>
      </c>
      <c r="E5" s="202" t="s">
        <v>21</v>
      </c>
      <c r="F5" s="203" t="s">
        <v>22</v>
      </c>
      <c r="G5" s="202" t="s">
        <v>23</v>
      </c>
      <c r="H5" s="203" t="s">
        <v>24</v>
      </c>
    </row>
    <row r="6" s="199" customFormat="1" ht="13" spans="1:25">
      <c r="A6" s="202" t="s">
        <v>25</v>
      </c>
      <c r="B6" s="203" t="s">
        <v>26</v>
      </c>
      <c r="C6" s="202" t="s">
        <v>27</v>
      </c>
      <c r="D6" s="203" t="s">
        <v>28</v>
      </c>
      <c r="E6" s="202" t="s">
        <v>29</v>
      </c>
      <c r="F6" s="203" t="s">
        <v>30</v>
      </c>
      <c r="G6" s="202" t="s">
        <v>31</v>
      </c>
      <c r="H6" s="203" t="s">
        <v>32</v>
      </c>
    </row>
    <row r="7" s="199" customFormat="1" ht="13" spans="1:25">
      <c r="A7" s="202" t="s">
        <v>33</v>
      </c>
      <c r="B7" s="203" t="s">
        <v>34</v>
      </c>
      <c r="C7" s="202" t="s">
        <v>33</v>
      </c>
      <c r="D7" s="203"/>
      <c r="E7" s="202" t="s">
        <v>35</v>
      </c>
      <c r="F7" s="204" t="s">
        <v>36</v>
      </c>
      <c r="G7" s="202" t="s">
        <v>37</v>
      </c>
      <c r="H7" s="203" t="s">
        <v>38</v>
      </c>
    </row>
    <row r="8" s="199" customFormat="1" ht="13" spans="1:25">
      <c r="A8" s="202" t="s">
        <v>39</v>
      </c>
      <c r="B8" s="203" t="s">
        <v>40</v>
      </c>
      <c r="C8" s="202" t="s">
        <v>41</v>
      </c>
      <c r="D8" s="203" t="s">
        <v>42</v>
      </c>
      <c r="E8" s="202" t="s">
        <v>43</v>
      </c>
      <c r="F8" s="203" t="s">
        <v>44</v>
      </c>
      <c r="G8" s="202" t="s">
        <v>45</v>
      </c>
      <c r="H8" s="203" t="s">
        <v>46</v>
      </c>
    </row>
    <row r="9" s="199" customFormat="1" ht="17.5" customHeight="1" spans="1:25">
      <c r="A9" s="201" t="s">
        <v>47</v>
      </c>
      <c r="D9" s="203"/>
      <c r="F9" s="203"/>
      <c r="H9" s="203"/>
    </row>
    <row r="10" s="199" customFormat="1" ht="13" spans="1:25">
      <c r="A10" s="202" t="s">
        <v>48</v>
      </c>
      <c r="B10" s="205" t="s">
        <v>49</v>
      </c>
      <c r="C10" s="202" t="s">
        <v>50</v>
      </c>
      <c r="D10" s="205" t="s">
        <v>51</v>
      </c>
      <c r="E10" s="202" t="s">
        <v>52</v>
      </c>
      <c r="F10" s="205" t="s">
        <v>53</v>
      </c>
      <c r="G10" s="202" t="s">
        <v>54</v>
      </c>
      <c r="H10" s="205" t="s">
        <v>55</v>
      </c>
    </row>
    <row r="11" s="199" customFormat="1" ht="13" spans="1:25">
      <c r="A11" s="202" t="s">
        <v>56</v>
      </c>
      <c r="B11" s="205" t="s">
        <v>57</v>
      </c>
      <c r="D11" s="203"/>
      <c r="F11" s="203"/>
      <c r="H11" s="203"/>
    </row>
    <row r="12" s="199" customFormat="1" ht="17.5" customHeight="1" spans="1:25">
      <c r="A12" s="201" t="s">
        <v>58</v>
      </c>
      <c r="D12" s="203"/>
      <c r="F12" s="203"/>
      <c r="H12" s="203"/>
    </row>
    <row r="13" s="199" customFormat="1" ht="13" spans="1:25">
      <c r="A13" s="202" t="s">
        <v>59</v>
      </c>
      <c r="B13" s="204" t="s">
        <v>60</v>
      </c>
      <c r="C13" s="202" t="s">
        <v>61</v>
      </c>
      <c r="D13" s="203" t="s">
        <v>62</v>
      </c>
      <c r="E13" s="202" t="s">
        <v>63</v>
      </c>
      <c r="F13" s="203" t="s">
        <v>64</v>
      </c>
      <c r="G13" s="202" t="s">
        <v>65</v>
      </c>
      <c r="H13" s="203" t="s">
        <v>66</v>
      </c>
    </row>
    <row r="14" s="199" customFormat="1" ht="13" spans="1:25">
      <c r="A14" s="202" t="s">
        <v>67</v>
      </c>
      <c r="B14" s="203" t="s">
        <v>68</v>
      </c>
    </row>
    <row r="16" ht="15" customHeight="1" spans="1:25">
      <c r="A16" s="206" t="s">
        <v>69</v>
      </c>
      <c r="B16" s="206" t="s">
        <v>70</v>
      </c>
      <c r="C16" s="206" t="s">
        <v>71</v>
      </c>
      <c r="D16" s="206" t="s">
        <v>72</v>
      </c>
      <c r="E16" s="206" t="s">
        <v>73</v>
      </c>
      <c r="F16" s="206" t="s">
        <v>74</v>
      </c>
      <c r="G16" s="206" t="s">
        <v>75</v>
      </c>
      <c r="H16" s="206" t="s">
        <v>76</v>
      </c>
      <c r="I16" s="206" t="s">
        <v>77</v>
      </c>
      <c r="J16" s="206" t="s">
        <v>78</v>
      </c>
      <c r="K16" s="206" t="s">
        <v>79</v>
      </c>
      <c r="L16" s="206" t="s">
        <v>80</v>
      </c>
      <c r="M16" s="206" t="s">
        <v>81</v>
      </c>
      <c r="N16" s="206" t="s">
        <v>82</v>
      </c>
      <c r="O16" s="206" t="s">
        <v>83</v>
      </c>
      <c r="P16" s="206" t="s">
        <v>84</v>
      </c>
      <c r="Q16" s="206" t="s">
        <v>85</v>
      </c>
      <c r="R16" s="206" t="s">
        <v>86</v>
      </c>
      <c r="S16" s="206" t="s">
        <v>87</v>
      </c>
      <c r="T16" s="206" t="s">
        <v>88</v>
      </c>
      <c r="U16" s="206" t="s">
        <v>89</v>
      </c>
      <c r="V16" s="206" t="s">
        <v>90</v>
      </c>
      <c r="W16" s="206" t="s">
        <v>91</v>
      </c>
      <c r="X16" s="206" t="s">
        <v>92</v>
      </c>
      <c r="Y16" s="206" t="s">
        <v>93</v>
      </c>
    </row>
    <row r="17" s="199" customFormat="1" ht="15.2" customHeight="1" spans="1:25">
      <c r="A17" s="199" t="s">
        <v>94</v>
      </c>
      <c r="B17" s="199" t="s">
        <v>95</v>
      </c>
      <c r="C17" s="199" t="s">
        <v>96</v>
      </c>
      <c r="D17" s="199" t="s">
        <v>97</v>
      </c>
      <c r="E17" s="199" t="s">
        <v>98</v>
      </c>
      <c r="F17" s="199" t="s">
        <v>99</v>
      </c>
      <c r="G17" s="199" t="s">
        <v>100</v>
      </c>
      <c r="H17" s="199" t="s">
        <v>101</v>
      </c>
      <c r="I17" s="199" t="s">
        <v>102</v>
      </c>
      <c r="J17" s="199" t="s">
        <v>103</v>
      </c>
      <c r="K17" s="199" t="s">
        <v>104</v>
      </c>
      <c r="L17" s="199" t="s">
        <v>105</v>
      </c>
      <c r="M17" s="199" t="s">
        <v>106</v>
      </c>
      <c r="N17" s="199" t="s">
        <v>107</v>
      </c>
      <c r="O17" s="199" t="s">
        <v>108</v>
      </c>
      <c r="P17" s="199" t="s">
        <v>109</v>
      </c>
      <c r="Q17" s="199" t="s">
        <v>110</v>
      </c>
      <c r="R17" s="199" t="s">
        <v>111</v>
      </c>
      <c r="S17" s="199" t="s">
        <v>112</v>
      </c>
      <c r="T17" s="199" t="s">
        <v>113</v>
      </c>
      <c r="U17" s="199" t="s">
        <v>114</v>
      </c>
      <c r="V17" s="199" t="s">
        <v>115</v>
      </c>
      <c r="W17" s="199" t="s">
        <v>116</v>
      </c>
      <c r="X17" s="199" t="s">
        <v>117</v>
      </c>
      <c r="Y17" s="199" t="s">
        <v>118</v>
      </c>
    </row>
    <row r="20" s="199" customFormat="1" ht="13" spans="1:25">
      <c r="B20" s="207"/>
    </row>
    <row r="21" s="199" customFormat="1" ht="13" spans="1:25">
      <c r="B21" s="207"/>
    </row>
    <row r="22" s="199" customFormat="1" ht="13" spans="1:25">
      <c r="B22" s="207"/>
    </row>
    <row r="23" s="199" customFormat="1" ht="13" spans="1:25">
      <c r="B23" s="207"/>
    </row>
    <row r="24" s="199" customFormat="1" ht="13" spans="1:25">
      <c r="B24" s="207"/>
    </row>
    <row r="25" s="199" customFormat="1" ht="13" spans="1:25">
      <c r="B25" s="207"/>
    </row>
    <row r="26" s="199" customFormat="1" ht="13" spans="1:25">
      <c r="B26" s="207"/>
    </row>
    <row r="27" s="199" customFormat="1" ht="13" spans="1:25">
      <c r="B27" s="207"/>
    </row>
    <row r="28" s="199" customFormat="1" ht="13" spans="1:25">
      <c r="B28" s="207"/>
    </row>
    <row r="29" s="199" customFormat="1" ht="13" spans="1:25">
      <c r="B29" s="207"/>
    </row>
  </sheetData>
  <mergeCells count="12">
    <mergeCell ref="A1:H1"/>
    <mergeCell ref="A1:H1"/>
    <mergeCell ref="A1:H1"/>
    <mergeCell ref="A2:B2"/>
    <mergeCell ref="A2:B2"/>
    <mergeCell ref="A2:B2"/>
    <mergeCell ref="A9:B9"/>
    <mergeCell ref="A9:B9"/>
    <mergeCell ref="A9:B9"/>
    <mergeCell ref="A12:B12"/>
    <mergeCell ref="A12:B12"/>
    <mergeCell ref="A12:B1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6"/>
  <sheetViews>
    <sheetView showZeros="0" zoomScale="130" zoomScaleNormal="130" zoomScaleSheetLayoutView="60" workbookViewId="0">
      <selection activeCell="A1" sqref="A1:I1"/>
    </sheetView>
  </sheetViews>
  <sheetFormatPr defaultColWidth="9.14166666666667" defaultRowHeight="15"/>
  <cols>
    <col min="1" max="1" width="13.125" style="5" customWidth="1"/>
    <col min="2" max="2" width="33.625" style="5" customWidth="1"/>
    <col min="3" max="3" width="6.125" style="5" customWidth="1"/>
    <col min="4" max="4" width="5.5" style="5" customWidth="1"/>
    <col min="5" max="5" width="6.75" style="5" customWidth="1"/>
    <col min="6" max="7" width="4.625" style="5" customWidth="1"/>
    <col min="8" max="8" width="13.9916666666667" style="5" customWidth="1"/>
    <col min="9" max="9" width="17.4083333333333" style="5" customWidth="1"/>
    <col min="10" max="33" width="9" style="5"/>
    <col min="34" max="16384" width="9.14166666666667" style="5"/>
  </cols>
  <sheetData>
    <row r="1" ht="31" spans="1:9">
      <c r="A1" s="118" t="str">
        <f>商检明细!B13</f>
        <v>{companyTitle}</v>
      </c>
      <c r="B1" s="118"/>
      <c r="C1" s="118"/>
      <c r="D1" s="118"/>
      <c r="E1" s="118"/>
      <c r="F1" s="118"/>
      <c r="G1" s="118"/>
      <c r="H1" s="118"/>
      <c r="I1" s="118"/>
    </row>
    <row r="2" ht="20" spans="1:9">
      <c r="A2" s="120" t="e">
        <f>VLOOKUP(A1,资料!A3:D8,2,0)</f>
        <v>#N/A</v>
      </c>
      <c r="B2" s="120"/>
      <c r="C2" s="120"/>
      <c r="D2" s="120"/>
      <c r="E2" s="120"/>
      <c r="F2" s="120"/>
      <c r="G2" s="120"/>
      <c r="H2" s="120"/>
      <c r="I2" s="120"/>
    </row>
    <row r="3" spans="1:9">
      <c r="A3" s="122" t="e">
        <f>VLOOKUP(A1,资料!A3:D8,3,0)</f>
        <v>#N/A</v>
      </c>
      <c r="B3" s="122"/>
      <c r="C3" s="122"/>
      <c r="D3" s="122"/>
      <c r="E3" s="122"/>
      <c r="F3" s="122"/>
      <c r="G3" s="122"/>
      <c r="H3" s="122"/>
      <c r="I3" s="122"/>
    </row>
    <row r="4" ht="17.5" spans="1:9">
      <c r="A4" s="169"/>
      <c r="B4" s="169"/>
      <c r="C4" s="169"/>
      <c r="D4" s="169"/>
      <c r="E4" s="169"/>
      <c r="F4" s="169"/>
      <c r="G4" s="169"/>
      <c r="H4" s="169"/>
      <c r="I4" s="169"/>
    </row>
    <row r="5" ht="17.5" spans="1:9">
      <c r="A5" s="125" t="s">
        <v>119</v>
      </c>
      <c r="B5" s="125"/>
      <c r="C5" s="125"/>
      <c r="D5" s="125"/>
      <c r="E5" s="125"/>
      <c r="F5" s="125"/>
      <c r="G5" s="125"/>
      <c r="H5" s="125"/>
      <c r="I5" s="125"/>
    </row>
    <row r="6" ht="6.75" customHeight="1" spans="1:9">
      <c r="A6" s="125"/>
      <c r="B6" s="125"/>
      <c r="C6" s="125"/>
      <c r="D6" s="125"/>
      <c r="E6" s="125"/>
      <c r="F6" s="125"/>
      <c r="G6" s="125"/>
      <c r="H6" s="125"/>
      <c r="I6" s="125"/>
    </row>
    <row r="7" ht="12" customHeight="1" spans="1:9">
      <c r="A7" s="127" t="s">
        <v>120</v>
      </c>
      <c r="B7" s="128"/>
      <c r="E7" s="127" t="s">
        <v>121</v>
      </c>
      <c r="F7" s="127"/>
      <c r="G7" s="127"/>
      <c r="H7" s="128" t="str">
        <f>商检明细!B3</f>
        <v>{invoiceCode}</v>
      </c>
      <c r="I7" s="128"/>
    </row>
    <row r="8" ht="12" customHeight="1" spans="1:9">
      <c r="A8" s="131" t="s">
        <v>122</v>
      </c>
      <c r="B8" s="132"/>
      <c r="E8" s="131" t="s">
        <v>123</v>
      </c>
      <c r="F8" s="131"/>
      <c r="G8" s="131"/>
      <c r="H8" s="132"/>
      <c r="I8" s="132"/>
    </row>
    <row r="9" ht="9" customHeight="1"/>
    <row r="10" ht="12" customHeight="1" spans="1:9">
      <c r="A10" s="127" t="s">
        <v>124</v>
      </c>
      <c r="B10" s="170" t="str">
        <f>商检明细!B5</f>
        <v>{saleContractCode}</v>
      </c>
      <c r="E10" s="127" t="s">
        <v>125</v>
      </c>
      <c r="F10" s="127"/>
      <c r="G10" s="127"/>
      <c r="H10" s="171" t="str">
        <f>LEFT(商检明细!F3,10)</f>
        <v>{inputDate</v>
      </c>
      <c r="I10" s="172"/>
    </row>
    <row r="11" ht="12.75" customHeight="1" spans="1:9">
      <c r="A11" s="131" t="s">
        <v>126</v>
      </c>
      <c r="B11" s="138"/>
      <c r="E11" s="131" t="s">
        <v>127</v>
      </c>
      <c r="F11" s="131"/>
      <c r="G11" s="131"/>
      <c r="H11" s="173"/>
      <c r="I11" s="173"/>
    </row>
    <row r="12" ht="8.25" customHeight="1"/>
    <row r="13" ht="11.25" customHeight="1" spans="1:9">
      <c r="A13" s="127" t="s">
        <v>128</v>
      </c>
      <c r="B13" s="128" t="str">
        <f>商检明细!H5</f>
        <v>{custName}</v>
      </c>
      <c r="C13" s="128"/>
      <c r="D13" s="128"/>
      <c r="E13" s="128"/>
      <c r="F13" s="128"/>
      <c r="G13" s="128"/>
      <c r="H13" s="128"/>
      <c r="I13" s="128"/>
    </row>
    <row r="14" ht="13.5" customHeight="1" spans="1:9">
      <c r="A14" s="131" t="s">
        <v>129</v>
      </c>
      <c r="B14" s="132"/>
      <c r="C14" s="132"/>
      <c r="D14" s="132"/>
      <c r="E14" s="132"/>
      <c r="F14" s="132"/>
      <c r="G14" s="132"/>
      <c r="H14" s="132"/>
      <c r="I14" s="132"/>
    </row>
    <row r="15" ht="10.5" customHeight="1"/>
    <row r="16" ht="10.5" customHeight="1" spans="1:9">
      <c r="A16" s="127" t="s">
        <v>130</v>
      </c>
      <c r="B16" s="128"/>
      <c r="C16" s="128"/>
      <c r="D16" s="128"/>
      <c r="E16" s="128"/>
      <c r="F16" s="128"/>
      <c r="G16" s="128"/>
      <c r="H16" s="128"/>
      <c r="I16" s="128"/>
    </row>
    <row r="17" ht="12.75" customHeight="1" spans="1:9">
      <c r="A17" s="131" t="s">
        <v>131</v>
      </c>
      <c r="B17" s="132"/>
      <c r="C17" s="132"/>
      <c r="D17" s="132"/>
      <c r="E17" s="132"/>
      <c r="F17" s="132"/>
      <c r="G17" s="132"/>
      <c r="H17" s="132"/>
      <c r="I17" s="132"/>
    </row>
    <row r="18" ht="9.75" customHeight="1"/>
    <row r="19" ht="11.25" customHeight="1" spans="1:9">
      <c r="A19" s="127" t="s">
        <v>132</v>
      </c>
      <c r="B19" s="128" t="str">
        <f>商检明细!B8</f>
        <v>{transportType}</v>
      </c>
      <c r="C19" s="128"/>
      <c r="D19" s="128"/>
      <c r="E19" s="128"/>
      <c r="F19" s="128"/>
      <c r="G19" s="128"/>
      <c r="H19" s="128"/>
      <c r="I19" s="128"/>
    </row>
    <row r="20" ht="14.25" customHeight="1" spans="1:9">
      <c r="A20" s="131" t="s">
        <v>133</v>
      </c>
      <c r="B20" s="132"/>
      <c r="C20" s="132"/>
      <c r="D20" s="132"/>
      <c r="E20" s="132"/>
      <c r="F20" s="132"/>
      <c r="G20" s="132"/>
      <c r="H20" s="132"/>
      <c r="I20" s="132"/>
    </row>
    <row r="22" spans="1:9">
      <c r="A22" s="174"/>
      <c r="B22" s="175" t="s">
        <v>134</v>
      </c>
      <c r="C22" s="175" t="s">
        <v>135</v>
      </c>
      <c r="D22" s="174"/>
      <c r="E22" s="175" t="s">
        <v>136</v>
      </c>
      <c r="F22" s="174"/>
      <c r="G22" s="176" t="s">
        <v>137</v>
      </c>
      <c r="H22" s="174"/>
      <c r="I22" s="141" t="s">
        <v>138</v>
      </c>
    </row>
    <row r="23" spans="1:9">
      <c r="A23" s="177"/>
      <c r="B23" s="178" t="s">
        <v>139</v>
      </c>
      <c r="C23" s="178" t="s">
        <v>140</v>
      </c>
      <c r="D23" s="177"/>
      <c r="E23" s="147" t="s">
        <v>141</v>
      </c>
      <c r="F23" s="146"/>
      <c r="G23" s="179" t="s">
        <v>142</v>
      </c>
      <c r="H23" s="177"/>
      <c r="I23" s="180" t="s">
        <v>143</v>
      </c>
    </row>
    <row r="24" spans="1:9">
      <c r="A24" s="146"/>
      <c r="B24" s="147"/>
      <c r="C24" s="181"/>
      <c r="D24" s="182"/>
      <c r="E24" s="181"/>
      <c r="F24" s="183"/>
      <c r="G24" s="184" t="str">
        <f>商检明细!H6&amp;"  "&amp;商检明细!D8</f>
        <v>{settlementTermType}  {departurePortName}</v>
      </c>
      <c r="H24" s="185"/>
      <c r="I24" s="186"/>
    </row>
    <row r="25" spans="1:9">
      <c r="A25" s="142"/>
      <c r="B25" s="187" t="str">
        <f>商检明细!C17</f>
        <v>{.customsDeclarationNameEng}</v>
      </c>
      <c r="C25" s="188" t="str">
        <f>商检明细!R17</f>
        <v>{.boxCount}</v>
      </c>
      <c r="D25" s="189" t="str">
        <f>商检明细!S17</f>
        <v>{.unitPerOuterbox}</v>
      </c>
      <c r="E25" s="27" t="str">
        <f>商检明细!E17</f>
        <v>{.declarationQuantity}</v>
      </c>
      <c r="F25" s="189" t="str">
        <f>IF(E25=0,"","PCS")</f>
        <v>PCS</v>
      </c>
      <c r="G25" s="190" t="str">
        <f>商检明细!B6</f>
        <v>{currency}</v>
      </c>
      <c r="H25" s="189" t="str">
        <f>商检明细!F17</f>
        <v>{.saleUnitPriceAmount}</v>
      </c>
      <c r="I25" s="191" t="str">
        <f>商检明细!G17</f>
        <v>{.saleAmountAmount}</v>
      </c>
    </row>
    <row r="26" spans="1:9">
      <c r="A26" s="142"/>
      <c r="B26" s="187">
        <f>商检明细!C18</f>
        <v>0</v>
      </c>
      <c r="C26" s="188">
        <f>商检明细!R18</f>
        <v>0</v>
      </c>
      <c r="D26" s="189">
        <f>商检明细!S18</f>
        <v>0</v>
      </c>
      <c r="E26" s="27">
        <f>商检明细!E18</f>
        <v>0</v>
      </c>
      <c r="F26" s="189" t="str">
        <f t="shared" ref="F26:F35" si="0">IF(E26=0,"","PCS")</f>
        <v/>
      </c>
      <c r="G26" s="190"/>
      <c r="H26" s="192">
        <f>商检明细!F18</f>
        <v>0</v>
      </c>
      <c r="I26" s="191">
        <f>商检明细!G18</f>
        <v>0</v>
      </c>
    </row>
    <row r="27" spans="1:9">
      <c r="A27" s="142"/>
      <c r="B27" s="187">
        <f>商检明细!C19</f>
        <v>0</v>
      </c>
      <c r="C27" s="188">
        <f>商检明细!R19</f>
        <v>0</v>
      </c>
      <c r="D27" s="189">
        <f>商检明细!S19</f>
        <v>0</v>
      </c>
      <c r="E27" s="27">
        <f>商检明细!E19</f>
        <v>0</v>
      </c>
      <c r="F27" s="189" t="str">
        <f t="shared" si="0"/>
        <v/>
      </c>
      <c r="G27" s="190"/>
      <c r="H27" s="192">
        <f>商检明细!F19</f>
        <v>0</v>
      </c>
      <c r="I27" s="191">
        <f>商检明细!G19</f>
        <v>0</v>
      </c>
    </row>
    <row r="28" spans="1:9">
      <c r="A28" s="142"/>
      <c r="B28" s="187">
        <f>商检明细!C20</f>
        <v>0</v>
      </c>
      <c r="C28" s="188">
        <f>商检明细!R20</f>
        <v>0</v>
      </c>
      <c r="D28" s="189">
        <f>商检明细!S20</f>
        <v>0</v>
      </c>
      <c r="E28" s="27">
        <f>商检明细!E20</f>
        <v>0</v>
      </c>
      <c r="F28" s="189" t="str">
        <f t="shared" si="0"/>
        <v/>
      </c>
      <c r="G28" s="190"/>
      <c r="H28" s="192">
        <f>商检明细!F20</f>
        <v>0</v>
      </c>
      <c r="I28" s="191">
        <f>商检明细!G20</f>
        <v>0</v>
      </c>
    </row>
    <row r="29" spans="1:9">
      <c r="A29" s="142"/>
      <c r="B29" s="187">
        <f>商检明细!C21</f>
        <v>0</v>
      </c>
      <c r="C29" s="188">
        <f>商检明细!R21</f>
        <v>0</v>
      </c>
      <c r="D29" s="189">
        <f>商检明细!S21</f>
        <v>0</v>
      </c>
      <c r="E29" s="27">
        <f>商检明细!E21</f>
        <v>0</v>
      </c>
      <c r="F29" s="189" t="str">
        <f t="shared" si="0"/>
        <v/>
      </c>
      <c r="G29" s="190"/>
      <c r="H29" s="192">
        <f>商检明细!F21</f>
        <v>0</v>
      </c>
      <c r="I29" s="191">
        <f>商检明细!G21</f>
        <v>0</v>
      </c>
    </row>
    <row r="30" spans="1:9">
      <c r="A30" s="142"/>
      <c r="B30" s="187">
        <f>商检明细!C22</f>
        <v>0</v>
      </c>
      <c r="C30" s="188">
        <f>商检明细!R22</f>
        <v>0</v>
      </c>
      <c r="D30" s="189">
        <f>商检明细!S22</f>
        <v>0</v>
      </c>
      <c r="E30" s="27">
        <f>商检明细!E22</f>
        <v>0</v>
      </c>
      <c r="F30" s="189" t="str">
        <f t="shared" si="0"/>
        <v/>
      </c>
      <c r="G30" s="190"/>
      <c r="H30" s="192">
        <f>商检明细!F22</f>
        <v>0</v>
      </c>
      <c r="I30" s="191">
        <f>商检明细!G22</f>
        <v>0</v>
      </c>
    </row>
    <row r="31" spans="1:9">
      <c r="A31" s="142"/>
      <c r="B31" s="187">
        <f>商检明细!C23</f>
        <v>0</v>
      </c>
      <c r="C31" s="188">
        <f>商检明细!R23</f>
        <v>0</v>
      </c>
      <c r="D31" s="189">
        <f>商检明细!S23</f>
        <v>0</v>
      </c>
      <c r="E31" s="27">
        <f>商检明细!E23</f>
        <v>0</v>
      </c>
      <c r="F31" s="189" t="str">
        <f t="shared" si="0"/>
        <v/>
      </c>
      <c r="G31" s="190"/>
      <c r="H31" s="192">
        <f>商检明细!F23</f>
        <v>0</v>
      </c>
      <c r="I31" s="191">
        <f>商检明细!G23</f>
        <v>0</v>
      </c>
    </row>
    <row r="32" spans="1:9">
      <c r="A32" s="142"/>
      <c r="B32" s="187">
        <f>商检明细!C24</f>
        <v>0</v>
      </c>
      <c r="C32" s="188">
        <f>商检明细!R24</f>
        <v>0</v>
      </c>
      <c r="D32" s="189">
        <f>商检明细!S24</f>
        <v>0</v>
      </c>
      <c r="E32" s="27">
        <f>商检明细!E24</f>
        <v>0</v>
      </c>
      <c r="F32" s="189" t="str">
        <f t="shared" si="0"/>
        <v/>
      </c>
      <c r="G32" s="190"/>
      <c r="H32" s="192">
        <f>商检明细!F24</f>
        <v>0</v>
      </c>
      <c r="I32" s="191">
        <f>商检明细!G24</f>
        <v>0</v>
      </c>
    </row>
    <row r="33" spans="1:9">
      <c r="A33" s="142"/>
      <c r="B33" s="187">
        <f>商检明细!C25</f>
        <v>0</v>
      </c>
      <c r="C33" s="188">
        <f>商检明细!R25</f>
        <v>0</v>
      </c>
      <c r="D33" s="189">
        <f>商检明细!S25</f>
        <v>0</v>
      </c>
      <c r="E33" s="27">
        <f>商检明细!E25</f>
        <v>0</v>
      </c>
      <c r="F33" s="189" t="str">
        <f t="shared" si="0"/>
        <v/>
      </c>
      <c r="G33" s="190"/>
      <c r="H33" s="192">
        <f>商检明细!F25</f>
        <v>0</v>
      </c>
      <c r="I33" s="191">
        <f>商检明细!G25</f>
        <v>0</v>
      </c>
    </row>
    <row r="34" spans="1:9">
      <c r="A34" s="193"/>
      <c r="B34" s="187">
        <f>商检明细!C26</f>
        <v>0</v>
      </c>
      <c r="C34" s="188">
        <f>商检明细!R26</f>
        <v>0</v>
      </c>
      <c r="D34" s="189">
        <f>商检明细!S26</f>
        <v>0</v>
      </c>
      <c r="E34" s="27">
        <f>商检明细!E26</f>
        <v>0</v>
      </c>
      <c r="F34" s="189" t="str">
        <f t="shared" si="0"/>
        <v/>
      </c>
      <c r="G34" s="190"/>
      <c r="H34" s="192">
        <f>商检明细!F26</f>
        <v>0</v>
      </c>
      <c r="I34" s="191">
        <f>商检明细!G26</f>
        <v>0</v>
      </c>
    </row>
    <row r="35" spans="1:9">
      <c r="A35" s="193"/>
      <c r="B35" s="187">
        <f>商检明细!C27</f>
        <v>0</v>
      </c>
      <c r="C35" s="188">
        <f>商检明细!R27</f>
        <v>0</v>
      </c>
      <c r="D35" s="189">
        <f>商检明细!S27</f>
        <v>0</v>
      </c>
      <c r="E35" s="27">
        <f>商检明细!E27</f>
        <v>0</v>
      </c>
      <c r="F35" s="189" t="str">
        <f t="shared" si="0"/>
        <v/>
      </c>
      <c r="G35" s="190"/>
      <c r="H35" s="192">
        <f>商检明细!F27</f>
        <v>0</v>
      </c>
      <c r="I35" s="191">
        <f>商检明细!G27</f>
        <v>0</v>
      </c>
    </row>
    <row r="36" ht="16.5" customHeight="1" spans="1:9">
      <c r="A36" s="194"/>
      <c r="B36" s="195" t="s">
        <v>144</v>
      </c>
      <c r="C36" s="165">
        <f>SUM(C25:C35)</f>
        <v>0</v>
      </c>
      <c r="D36" s="135" t="str">
        <f>D25</f>
        <v>{.unitPerOuterbox}</v>
      </c>
      <c r="E36" s="165">
        <f>SUM(E25:E35)</f>
        <v>0</v>
      </c>
      <c r="F36" s="135" t="str">
        <f>F25</f>
        <v>PCS</v>
      </c>
      <c r="G36" s="135"/>
      <c r="H36" s="176"/>
      <c r="I36" s="196">
        <f>SUM(I25:I35)</f>
        <v>0</v>
      </c>
    </row>
    <row r="37" ht="15.75" customHeight="1" spans="1:9">
      <c r="A37" s="197" t="str">
        <f>商检明细!B14</f>
        <v>{frontShippingMark}</v>
      </c>
      <c r="B37" s="197"/>
      <c r="E37" s="129"/>
      <c r="F37" s="129"/>
      <c r="G37" s="129"/>
      <c r="H37" s="129"/>
      <c r="I37" s="198"/>
    </row>
    <row r="38" spans="1:9">
      <c r="A38" s="197"/>
      <c r="B38" s="197"/>
      <c r="E38" s="127"/>
      <c r="F38" s="127"/>
      <c r="G38" s="127"/>
      <c r="H38" s="127"/>
      <c r="I38" s="198"/>
    </row>
    <row r="39" spans="1:9">
      <c r="A39" s="197"/>
      <c r="B39" s="197"/>
    </row>
    <row r="40" spans="1:9">
      <c r="A40" s="197"/>
      <c r="B40" s="197"/>
    </row>
    <row r="41" spans="1:9">
      <c r="A41" s="197"/>
      <c r="B41" s="197"/>
    </row>
    <row r="42" spans="1:9">
      <c r="A42" s="197"/>
      <c r="B42" s="197"/>
    </row>
    <row r="43" spans="1:9">
      <c r="A43" s="197"/>
      <c r="B43" s="197"/>
    </row>
    <row r="44" spans="1:9">
      <c r="A44" s="168"/>
      <c r="B44" s="168"/>
    </row>
    <row r="45" spans="1:9">
      <c r="A45" s="168"/>
      <c r="B45" s="168"/>
    </row>
    <row r="46" spans="1:9">
      <c r="A46" s="168"/>
      <c r="B46" s="168"/>
    </row>
  </sheetData>
  <mergeCells count="22">
    <mergeCell ref="A1:I1"/>
    <mergeCell ref="A2:I2"/>
    <mergeCell ref="A3:I3"/>
    <mergeCell ref="A4:I4"/>
    <mergeCell ref="A5:I5"/>
    <mergeCell ref="C22:D22"/>
    <mergeCell ref="E22:F22"/>
    <mergeCell ref="G22:H22"/>
    <mergeCell ref="C23:D23"/>
    <mergeCell ref="E23:F23"/>
    <mergeCell ref="G23:H23"/>
    <mergeCell ref="C24:D24"/>
    <mergeCell ref="G24:H24"/>
    <mergeCell ref="E37:H37"/>
    <mergeCell ref="B7:B8"/>
    <mergeCell ref="B10:B11"/>
    <mergeCell ref="A37:B43"/>
    <mergeCell ref="H10:I11"/>
    <mergeCell ref="B13:I14"/>
    <mergeCell ref="B16:I17"/>
    <mergeCell ref="B19:I20"/>
    <mergeCell ref="H7:I8"/>
  </mergeCells>
  <pageMargins left="0.71" right="0.71" top="0.75" bottom="0.75" header="0.31" footer="0.31"/>
  <pageSetup paperSize="9" scale="87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42"/>
  <sheetViews>
    <sheetView showZeros="0" zoomScaleSheetLayoutView="60" workbookViewId="0">
      <selection activeCell="A1" sqref="A1:I1"/>
    </sheetView>
  </sheetViews>
  <sheetFormatPr defaultColWidth="9.14166666666667" defaultRowHeight="15"/>
  <cols>
    <col min="1" max="1" width="12.25" style="5" customWidth="1"/>
    <col min="2" max="2" width="25.375" style="5" customWidth="1"/>
    <col min="3" max="3" width="5.75" style="5" customWidth="1"/>
    <col min="4" max="4" width="5.375" style="5" customWidth="1"/>
    <col min="5" max="5" width="7.25" style="5" customWidth="1"/>
    <col min="6" max="6" width="4.5" style="5" customWidth="1"/>
    <col min="7" max="8" width="9" style="5"/>
    <col min="9" max="9" width="10" style="117"/>
    <col min="10" max="32" width="9" style="5"/>
    <col min="33" max="16384" width="9.14166666666667" style="5"/>
  </cols>
  <sheetData>
    <row r="1" ht="31" spans="1:9">
      <c r="A1" s="118" t="str">
        <f>商检明细!B13</f>
        <v>{companyTitle}</v>
      </c>
      <c r="B1" s="118"/>
      <c r="C1" s="118"/>
      <c r="D1" s="118"/>
      <c r="E1" s="118"/>
      <c r="F1" s="118"/>
      <c r="G1" s="118"/>
      <c r="H1" s="118"/>
      <c r="I1" s="119"/>
    </row>
    <row r="2" ht="20" spans="1:9">
      <c r="A2" s="120" t="e">
        <f>VLOOKUP(A1,资料!A3:D8,2,0)</f>
        <v>#N/A</v>
      </c>
      <c r="B2" s="120"/>
      <c r="C2" s="120"/>
      <c r="D2" s="120"/>
      <c r="E2" s="120"/>
      <c r="F2" s="120"/>
      <c r="G2" s="120"/>
      <c r="H2" s="120"/>
      <c r="I2" s="121"/>
    </row>
    <row r="3" spans="1:9">
      <c r="A3" s="122" t="e">
        <f>VLOOKUP(A1,资料!A3:D8,3,0)</f>
        <v>#N/A</v>
      </c>
      <c r="B3" s="122"/>
      <c r="C3" s="122"/>
      <c r="D3" s="122"/>
      <c r="E3" s="122"/>
      <c r="F3" s="122"/>
      <c r="G3" s="122"/>
      <c r="H3" s="122"/>
      <c r="I3" s="123"/>
    </row>
    <row r="4" spans="1:9">
      <c r="A4" s="124"/>
    </row>
    <row r="5" ht="17.5" spans="1:9">
      <c r="A5" s="125" t="s">
        <v>145</v>
      </c>
      <c r="B5" s="125"/>
      <c r="C5" s="125"/>
      <c r="D5" s="125"/>
      <c r="E5" s="125"/>
      <c r="F5" s="125"/>
      <c r="G5" s="125"/>
      <c r="H5" s="125"/>
      <c r="I5" s="126"/>
    </row>
    <row r="6" spans="1:9">
      <c r="A6" s="127" t="s">
        <v>120</v>
      </c>
      <c r="B6" s="128"/>
      <c r="F6" s="129" t="s">
        <v>121</v>
      </c>
      <c r="G6" s="129"/>
      <c r="H6" s="128" t="str">
        <f>商检明细!B3</f>
        <v>{invoiceCode}</v>
      </c>
      <c r="I6" s="130"/>
    </row>
    <row r="7" ht="14.25" customHeight="1" spans="1:9">
      <c r="A7" s="131" t="s">
        <v>122</v>
      </c>
      <c r="B7" s="132"/>
      <c r="F7" s="133" t="s">
        <v>123</v>
      </c>
      <c r="G7" s="133"/>
      <c r="H7" s="132"/>
      <c r="I7" s="134"/>
    </row>
    <row r="8" spans="1:9">
      <c r="A8" s="127" t="s">
        <v>124</v>
      </c>
      <c r="B8" s="135" t="str">
        <f>商检明细!B5</f>
        <v>{saleContractCode}</v>
      </c>
      <c r="F8" s="129" t="s">
        <v>125</v>
      </c>
      <c r="G8" s="129"/>
      <c r="H8" s="136" t="str">
        <f>LEFT(商检明细!F3,10)</f>
        <v>{inputDate</v>
      </c>
      <c r="I8" s="137"/>
    </row>
    <row r="9" spans="1:9">
      <c r="A9" s="131" t="s">
        <v>126</v>
      </c>
      <c r="B9" s="138"/>
      <c r="F9" s="133" t="s">
        <v>127</v>
      </c>
      <c r="G9" s="133"/>
      <c r="H9" s="132"/>
      <c r="I9" s="134"/>
    </row>
    <row r="10" ht="12.75" customHeight="1" spans="1:9">
      <c r="A10" s="127" t="s">
        <v>128</v>
      </c>
      <c r="B10" s="128" t="str">
        <f>商检明细!H5</f>
        <v>{custName}</v>
      </c>
      <c r="C10" s="128"/>
      <c r="D10" s="128"/>
      <c r="E10" s="128"/>
      <c r="F10" s="128"/>
      <c r="G10" s="128"/>
      <c r="H10" s="128"/>
      <c r="I10" s="130"/>
    </row>
    <row r="11" spans="1:9">
      <c r="A11" s="131" t="s">
        <v>129</v>
      </c>
      <c r="B11" s="132"/>
      <c r="C11" s="132"/>
      <c r="D11" s="132"/>
      <c r="E11" s="132"/>
      <c r="F11" s="132"/>
      <c r="G11" s="132"/>
      <c r="H11" s="132"/>
      <c r="I11" s="134"/>
    </row>
    <row r="12" ht="12.75" customHeight="1" spans="1:9">
      <c r="A12" s="127" t="s">
        <v>130</v>
      </c>
      <c r="B12" s="139"/>
      <c r="C12" s="139"/>
      <c r="D12" s="139"/>
      <c r="E12" s="139"/>
      <c r="F12" s="139"/>
      <c r="G12" s="139"/>
      <c r="H12" s="139"/>
      <c r="I12" s="137"/>
    </row>
    <row r="13" ht="12" customHeight="1" spans="1:9">
      <c r="A13" s="131" t="s">
        <v>131</v>
      </c>
      <c r="B13" s="132"/>
      <c r="C13" s="132"/>
      <c r="D13" s="132"/>
      <c r="E13" s="132"/>
      <c r="F13" s="132"/>
      <c r="G13" s="132"/>
      <c r="H13" s="132"/>
      <c r="I13" s="134"/>
    </row>
    <row r="14" spans="1:9">
      <c r="A14" s="127" t="s">
        <v>132</v>
      </c>
      <c r="B14" s="139" t="s">
        <v>146</v>
      </c>
      <c r="C14" s="139"/>
      <c r="D14" s="139"/>
      <c r="E14" s="139"/>
      <c r="F14" s="139"/>
      <c r="G14" s="139"/>
      <c r="H14" s="139"/>
      <c r="I14" s="137"/>
    </row>
    <row r="15" spans="1:9">
      <c r="A15" s="140" t="s">
        <v>133</v>
      </c>
      <c r="B15" s="132"/>
      <c r="C15" s="132"/>
      <c r="D15" s="132"/>
      <c r="E15" s="132"/>
      <c r="F15" s="132"/>
      <c r="G15" s="132"/>
      <c r="H15" s="132"/>
      <c r="I15" s="134"/>
    </row>
    <row r="16" spans="1:9">
      <c r="A16" s="141"/>
      <c r="B16" s="142" t="s">
        <v>134</v>
      </c>
      <c r="C16" s="129" t="s">
        <v>135</v>
      </c>
      <c r="D16" s="129"/>
      <c r="E16" s="129" t="s">
        <v>136</v>
      </c>
      <c r="F16" s="129"/>
      <c r="G16" s="142" t="s">
        <v>147</v>
      </c>
      <c r="H16" s="143" t="s">
        <v>148</v>
      </c>
      <c r="I16" s="144" t="s">
        <v>149</v>
      </c>
    </row>
    <row r="17" spans="1:9">
      <c r="A17" s="145"/>
      <c r="B17" s="146" t="s">
        <v>139</v>
      </c>
      <c r="C17" s="133" t="s">
        <v>140</v>
      </c>
      <c r="D17" s="133"/>
      <c r="E17" s="147" t="s">
        <v>141</v>
      </c>
      <c r="F17" s="146"/>
      <c r="G17" s="145" t="s">
        <v>150</v>
      </c>
      <c r="H17" s="145" t="s">
        <v>151</v>
      </c>
      <c r="I17" s="148" t="s">
        <v>152</v>
      </c>
    </row>
    <row r="18" spans="1:9">
      <c r="A18" s="149"/>
      <c r="B18" s="150"/>
      <c r="C18" s="151"/>
      <c r="D18" s="151"/>
      <c r="E18" s="152"/>
      <c r="F18" s="150"/>
      <c r="G18" s="153" t="s">
        <v>153</v>
      </c>
      <c r="H18" s="154" t="s">
        <v>153</v>
      </c>
      <c r="I18" s="155" t="s">
        <v>154</v>
      </c>
    </row>
    <row r="19" spans="1:9">
      <c r="A19" s="156"/>
      <c r="B19" s="141"/>
      <c r="C19" s="129"/>
      <c r="D19" s="129"/>
      <c r="E19" s="157"/>
      <c r="F19" s="142"/>
      <c r="G19" s="143"/>
      <c r="H19" s="158"/>
      <c r="I19" s="159"/>
    </row>
    <row r="20" spans="1:9">
      <c r="A20" s="157"/>
      <c r="B20" s="160" t="str">
        <f>商检明细!C17</f>
        <v>{.customsDeclarationNameEng}</v>
      </c>
      <c r="C20" s="27" t="str">
        <f>商检明细!R17</f>
        <v>{.boxCount}</v>
      </c>
      <c r="D20" s="161" t="str">
        <f>商检明细!S17</f>
        <v>{.unitPerOuterbox}</v>
      </c>
      <c r="E20" s="162" t="str">
        <f>商检明细!E17</f>
        <v>{.declarationQuantity}</v>
      </c>
      <c r="F20" s="162" t="str">
        <f>IF(E20=0,"","PCS")</f>
        <v>PCS</v>
      </c>
      <c r="G20" s="143" t="str">
        <f>商检明细!W17</f>
        <v>{.totalGrossweightWeight}</v>
      </c>
      <c r="H20" s="143" t="str">
        <f>商检明细!Y17</f>
        <v>{.totalNetweightWeight}</v>
      </c>
      <c r="I20" s="144" t="str">
        <f>商检明细!U17</f>
        <v>{.totalVolume}</v>
      </c>
    </row>
    <row r="21" spans="1:9">
      <c r="A21" s="157"/>
      <c r="B21" s="160">
        <f>商检明细!C18</f>
        <v>0</v>
      </c>
      <c r="C21" s="27">
        <f>商检明细!R18</f>
        <v>0</v>
      </c>
      <c r="D21" s="161">
        <f>商检明细!S18</f>
        <v>0</v>
      </c>
      <c r="E21" s="162">
        <f>商检明细!E18</f>
        <v>0</v>
      </c>
      <c r="F21" s="162" t="str">
        <f t="shared" ref="F21:F30" si="0">IF(E21=0,"","PCS")</f>
        <v/>
      </c>
      <c r="G21" s="143">
        <f>商检明细!W18</f>
        <v>0</v>
      </c>
      <c r="H21" s="143">
        <f>商检明细!Y18</f>
        <v>0</v>
      </c>
      <c r="I21" s="144">
        <f>商检明细!U18</f>
        <v>0</v>
      </c>
    </row>
    <row r="22" spans="1:9">
      <c r="A22" s="157"/>
      <c r="B22" s="160">
        <f>商检明细!C19</f>
        <v>0</v>
      </c>
      <c r="C22" s="27">
        <f>商检明细!R19</f>
        <v>0</v>
      </c>
      <c r="D22" s="161">
        <f>商检明细!S19</f>
        <v>0</v>
      </c>
      <c r="E22" s="162">
        <f>商检明细!E19</f>
        <v>0</v>
      </c>
      <c r="F22" s="162" t="str">
        <f t="shared" si="0"/>
        <v/>
      </c>
      <c r="G22" s="143">
        <f>商检明细!W19</f>
        <v>0</v>
      </c>
      <c r="H22" s="143">
        <f>商检明细!Y19</f>
        <v>0</v>
      </c>
      <c r="I22" s="144">
        <f>商检明细!U19</f>
        <v>0</v>
      </c>
    </row>
    <row r="23" spans="1:9">
      <c r="A23" s="157"/>
      <c r="B23" s="160">
        <f>商检明细!C20</f>
        <v>0</v>
      </c>
      <c r="C23" s="27">
        <f>商检明细!R20</f>
        <v>0</v>
      </c>
      <c r="D23" s="161">
        <f>商检明细!S20</f>
        <v>0</v>
      </c>
      <c r="E23" s="162">
        <f>商检明细!E20</f>
        <v>0</v>
      </c>
      <c r="F23" s="162" t="str">
        <f t="shared" si="0"/>
        <v/>
      </c>
      <c r="G23" s="143">
        <f>商检明细!W20</f>
        <v>0</v>
      </c>
      <c r="H23" s="143">
        <f>商检明细!Y20</f>
        <v>0</v>
      </c>
      <c r="I23" s="144">
        <f>商检明细!U20</f>
        <v>0</v>
      </c>
    </row>
    <row r="24" spans="1:9">
      <c r="A24" s="157"/>
      <c r="B24" s="160">
        <f>商检明细!C21</f>
        <v>0</v>
      </c>
      <c r="C24" s="27">
        <f>商检明细!R21</f>
        <v>0</v>
      </c>
      <c r="D24" s="161">
        <f>商检明细!S21</f>
        <v>0</v>
      </c>
      <c r="E24" s="162">
        <f>商检明细!E21</f>
        <v>0</v>
      </c>
      <c r="F24" s="162" t="str">
        <f t="shared" si="0"/>
        <v/>
      </c>
      <c r="G24" s="143">
        <f>商检明细!W21</f>
        <v>0</v>
      </c>
      <c r="H24" s="143">
        <f>商检明细!Y21</f>
        <v>0</v>
      </c>
      <c r="I24" s="144">
        <f>商检明细!U21</f>
        <v>0</v>
      </c>
    </row>
    <row r="25" spans="1:9">
      <c r="A25" s="157"/>
      <c r="B25" s="160">
        <f>商检明细!C22</f>
        <v>0</v>
      </c>
      <c r="C25" s="27">
        <f>商检明细!R22</f>
        <v>0</v>
      </c>
      <c r="D25" s="161">
        <f>商检明细!S22</f>
        <v>0</v>
      </c>
      <c r="E25" s="162">
        <f>商检明细!E22</f>
        <v>0</v>
      </c>
      <c r="F25" s="162" t="str">
        <f t="shared" si="0"/>
        <v/>
      </c>
      <c r="G25" s="143">
        <f>商检明细!W22</f>
        <v>0</v>
      </c>
      <c r="H25" s="143">
        <f>商检明细!Y22</f>
        <v>0</v>
      </c>
      <c r="I25" s="144">
        <f>商检明细!U22</f>
        <v>0</v>
      </c>
    </row>
    <row r="26" spans="1:9">
      <c r="A26" s="157"/>
      <c r="B26" s="160">
        <f>商检明细!C23</f>
        <v>0</v>
      </c>
      <c r="C26" s="27">
        <f>商检明细!R23</f>
        <v>0</v>
      </c>
      <c r="D26" s="161">
        <f>商检明细!S23</f>
        <v>0</v>
      </c>
      <c r="E26" s="162">
        <f>商检明细!E23</f>
        <v>0</v>
      </c>
      <c r="F26" s="162" t="str">
        <f t="shared" si="0"/>
        <v/>
      </c>
      <c r="G26" s="143">
        <f>商检明细!W23</f>
        <v>0</v>
      </c>
      <c r="H26" s="143">
        <f>商检明细!Y23</f>
        <v>0</v>
      </c>
      <c r="I26" s="144">
        <f>商检明细!U23</f>
        <v>0</v>
      </c>
    </row>
    <row r="27" spans="1:9">
      <c r="A27" s="157"/>
      <c r="B27" s="160">
        <f>商检明细!C24</f>
        <v>0</v>
      </c>
      <c r="C27" s="27">
        <f>商检明细!R24</f>
        <v>0</v>
      </c>
      <c r="D27" s="161">
        <f>商检明细!S24</f>
        <v>0</v>
      </c>
      <c r="E27" s="162">
        <f>商检明细!E24</f>
        <v>0</v>
      </c>
      <c r="F27" s="162" t="str">
        <f t="shared" si="0"/>
        <v/>
      </c>
      <c r="G27" s="143">
        <f>商检明细!W24</f>
        <v>0</v>
      </c>
      <c r="H27" s="143">
        <f>商检明细!Y24</f>
        <v>0</v>
      </c>
      <c r="I27" s="144">
        <f>商检明细!U24</f>
        <v>0</v>
      </c>
    </row>
    <row r="28" spans="1:9">
      <c r="A28" s="157"/>
      <c r="B28" s="160">
        <f>商检明细!C25</f>
        <v>0</v>
      </c>
      <c r="C28" s="27">
        <f>商检明细!R25</f>
        <v>0</v>
      </c>
      <c r="D28" s="161">
        <f>商检明细!S25</f>
        <v>0</v>
      </c>
      <c r="E28" s="162">
        <f>商检明细!E25</f>
        <v>0</v>
      </c>
      <c r="F28" s="162" t="str">
        <f t="shared" si="0"/>
        <v/>
      </c>
      <c r="G28" s="143">
        <f>商检明细!W25</f>
        <v>0</v>
      </c>
      <c r="H28" s="143">
        <f>商检明细!Y25</f>
        <v>0</v>
      </c>
      <c r="I28" s="144">
        <f>商检明细!U25</f>
        <v>0</v>
      </c>
    </row>
    <row r="29" spans="1:9">
      <c r="A29" s="156"/>
      <c r="B29" s="160">
        <f>商检明细!C26</f>
        <v>0</v>
      </c>
      <c r="C29" s="27">
        <f>商检明细!R26</f>
        <v>0</v>
      </c>
      <c r="D29" s="161">
        <f>商检明细!S26</f>
        <v>0</v>
      </c>
      <c r="E29" s="162">
        <f>商检明细!E26</f>
        <v>0</v>
      </c>
      <c r="F29" s="162" t="str">
        <f t="shared" si="0"/>
        <v/>
      </c>
      <c r="G29" s="143">
        <f>商检明细!W26</f>
        <v>0</v>
      </c>
      <c r="H29" s="143">
        <f>商检明细!Y26</f>
        <v>0</v>
      </c>
      <c r="I29" s="144">
        <f>商检明细!U26</f>
        <v>0</v>
      </c>
    </row>
    <row r="30" spans="1:9">
      <c r="A30" s="163"/>
      <c r="B30" s="160">
        <f>商检明细!C27</f>
        <v>0</v>
      </c>
      <c r="C30" s="27">
        <f>商检明细!R27</f>
        <v>0</v>
      </c>
      <c r="D30" s="161">
        <f>商检明细!S27</f>
        <v>0</v>
      </c>
      <c r="E30" s="162">
        <f>商检明细!E27</f>
        <v>0</v>
      </c>
      <c r="F30" s="162" t="str">
        <f t="shared" si="0"/>
        <v/>
      </c>
      <c r="G30" s="143">
        <f>商检明细!W27</f>
        <v>0</v>
      </c>
      <c r="H30" s="143">
        <f>商检明细!Y27</f>
        <v>0</v>
      </c>
      <c r="I30" s="144">
        <f>商检明细!U27</f>
        <v>0</v>
      </c>
    </row>
    <row r="31" spans="1:9">
      <c r="A31" s="164"/>
      <c r="B31" s="164" t="s">
        <v>144</v>
      </c>
      <c r="C31" s="164">
        <f t="shared" ref="C31:I31" si="1">SUM(C20:C30)</f>
        <v>0</v>
      </c>
      <c r="D31" s="165" t="str">
        <f>D20</f>
        <v>{.unitPerOuterbox}</v>
      </c>
      <c r="E31" s="164">
        <f t="shared" si="1"/>
        <v>0</v>
      </c>
      <c r="F31" s="165" t="str">
        <f>F20</f>
        <v>PCS</v>
      </c>
      <c r="G31" s="164">
        <f t="shared" si="1"/>
        <v>0</v>
      </c>
      <c r="H31" s="164">
        <f t="shared" si="1"/>
        <v>0</v>
      </c>
      <c r="I31" s="166">
        <f t="shared" si="1"/>
        <v>0</v>
      </c>
    </row>
    <row r="34" spans="1:2">
      <c r="A34" s="167" t="str">
        <f>商检明细!B14</f>
        <v>{frontShippingMark}</v>
      </c>
      <c r="B34" s="168"/>
    </row>
    <row r="35" spans="1:2">
      <c r="A35" s="168"/>
      <c r="B35" s="168"/>
    </row>
    <row r="36" spans="1:2">
      <c r="A36" s="168"/>
      <c r="B36" s="168"/>
    </row>
    <row r="37" spans="1:2">
      <c r="A37" s="168"/>
      <c r="B37" s="168"/>
    </row>
    <row r="38" spans="1:2">
      <c r="A38" s="168"/>
      <c r="B38" s="168"/>
    </row>
    <row r="39" spans="1:2">
      <c r="A39" s="168"/>
      <c r="B39" s="168"/>
    </row>
    <row r="40" spans="1:2">
      <c r="A40" s="168"/>
      <c r="B40" s="168"/>
    </row>
    <row r="41" spans="1:2">
      <c r="A41" s="168"/>
      <c r="B41" s="168"/>
    </row>
    <row r="42" spans="1:2">
      <c r="A42" s="168"/>
      <c r="B42" s="168"/>
    </row>
  </sheetData>
  <mergeCells count="22">
    <mergeCell ref="A1:I1"/>
    <mergeCell ref="A2:I2"/>
    <mergeCell ref="A3:I3"/>
    <mergeCell ref="A5:I5"/>
    <mergeCell ref="F6:G6"/>
    <mergeCell ref="F7:G7"/>
    <mergeCell ref="F8:G8"/>
    <mergeCell ref="F9:G9"/>
    <mergeCell ref="C16:D16"/>
    <mergeCell ref="E16:F16"/>
    <mergeCell ref="C17:D17"/>
    <mergeCell ref="E17:F17"/>
    <mergeCell ref="C18:D18"/>
    <mergeCell ref="E18:F18"/>
    <mergeCell ref="B6:B7"/>
    <mergeCell ref="B8:B9"/>
    <mergeCell ref="H6:I7"/>
    <mergeCell ref="H8:I9"/>
    <mergeCell ref="B10:I11"/>
    <mergeCell ref="B12:I13"/>
    <mergeCell ref="A34:B42"/>
    <mergeCell ref="B14:I15"/>
  </mergeCells>
  <pageMargins left="0.71" right="0.71" top="0.75" bottom="0.75" header="0.31" footer="0.31"/>
  <pageSetup paperSize="9" scale="99" orientation="portrait" horizontalDpi="600" vertic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1"/>
  <sheetViews>
    <sheetView showZeros="0" zoomScaleSheetLayoutView="60" workbookViewId="0">
      <selection activeCell="A1" sqref="A1:N1"/>
    </sheetView>
  </sheetViews>
  <sheetFormatPr defaultColWidth="9.14166666666667" defaultRowHeight="16.5"/>
  <cols>
    <col min="1" max="1" width="6.5" style="42" customWidth="1"/>
    <col min="2" max="2" width="13.125" style="42"/>
    <col min="3" max="3" width="10.5" style="42"/>
    <col min="4" max="4" width="18.625" style="42" customWidth="1"/>
    <col min="5" max="5" width="9.375" style="42" customWidth="1"/>
    <col min="6" max="6" width="6.75" style="42" customWidth="1"/>
    <col min="7" max="7" width="11" style="42" customWidth="1"/>
    <col min="8" max="8" width="11.25" style="42" customWidth="1"/>
    <col min="9" max="9" width="10.5" style="42"/>
    <col min="10" max="10" width="11.25" style="42" customWidth="1"/>
    <col min="11" max="11" width="14" style="42" customWidth="1"/>
    <col min="12" max="12" width="9.625" style="42" customWidth="1"/>
    <col min="13" max="13" width="10.5" style="42"/>
    <col min="14" max="14" width="9.75" style="42" customWidth="1"/>
    <col min="15" max="15" width="2.25" style="42" customWidth="1"/>
    <col min="16" max="18" width="9" style="42" hidden="1" customWidth="1"/>
    <col min="19" max="32" width="9" style="42"/>
    <col min="33" max="16384" width="9.14166666666667" style="42"/>
  </cols>
  <sheetData>
    <row r="1" ht="51.75" customHeight="1" spans="1:17">
      <c r="A1" s="43" t="s">
        <v>155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</row>
    <row r="2" s="40" customFormat="1" ht="19.5" customHeight="1" spans="1:17">
      <c r="A2" s="45" t="s">
        <v>156</v>
      </c>
      <c r="B2" s="45"/>
      <c r="C2" s="46"/>
      <c r="D2" s="46" t="s">
        <v>157</v>
      </c>
      <c r="E2" s="46"/>
      <c r="F2" s="45"/>
      <c r="G2" s="46"/>
      <c r="H2" s="46"/>
      <c r="I2" s="46" t="s">
        <v>158</v>
      </c>
      <c r="J2" s="46"/>
      <c r="K2" s="45"/>
      <c r="L2" s="45"/>
      <c r="M2" s="45"/>
      <c r="N2" s="45"/>
      <c r="O2" s="47"/>
    </row>
    <row r="3" s="40" customFormat="1" ht="17.25" customHeight="1" spans="1:17">
      <c r="A3" s="48" t="s">
        <v>159</v>
      </c>
      <c r="B3" s="49"/>
      <c r="C3" s="49"/>
      <c r="D3" s="49"/>
      <c r="E3" s="49"/>
      <c r="F3" s="50"/>
      <c r="G3" s="48" t="s">
        <v>160</v>
      </c>
      <c r="H3" s="51"/>
      <c r="I3" s="48" t="s">
        <v>161</v>
      </c>
      <c r="J3" s="52"/>
      <c r="K3" s="53" t="s">
        <v>162</v>
      </c>
      <c r="L3" s="48" t="s">
        <v>163</v>
      </c>
      <c r="M3" s="49"/>
      <c r="N3" s="50"/>
      <c r="O3" s="47"/>
    </row>
    <row r="4" s="40" customFormat="1" ht="23.25" customHeight="1" spans="1:17">
      <c r="A4" s="54" t="e">
        <f>VLOOKUP(D4,资料!A3:G8,7,0)</f>
        <v>#N/A</v>
      </c>
      <c r="B4" s="55"/>
      <c r="C4" s="56" t="e">
        <f>VLOOKUP(D4,资料!A3:G8,6,0)</f>
        <v>#N/A</v>
      </c>
      <c r="D4" s="56" t="str">
        <f>商检明细!B13</f>
        <v>{companyTitle}</v>
      </c>
      <c r="E4" s="57"/>
      <c r="F4" s="58"/>
      <c r="G4" s="59" t="s">
        <v>164</v>
      </c>
      <c r="H4" s="58"/>
      <c r="I4" s="60" t="str">
        <f>LEFT(商检明细!H4,10)</f>
        <v>{shipDate}</v>
      </c>
      <c r="J4" s="58"/>
      <c r="K4" s="61" t="s">
        <v>13</v>
      </c>
      <c r="L4" s="56" t="s">
        <v>13</v>
      </c>
      <c r="M4" s="56"/>
      <c r="N4" s="62"/>
      <c r="O4" s="47"/>
    </row>
    <row r="5" s="40" customFormat="1" ht="17.25" customHeight="1" spans="1:17">
      <c r="A5" s="48" t="s">
        <v>165</v>
      </c>
      <c r="B5" s="49"/>
      <c r="C5" s="49"/>
      <c r="D5" s="49"/>
      <c r="E5" s="49"/>
      <c r="F5" s="50"/>
      <c r="G5" s="48" t="s">
        <v>39</v>
      </c>
      <c r="H5" s="50"/>
      <c r="I5" s="48" t="s">
        <v>166</v>
      </c>
      <c r="J5" s="50"/>
      <c r="K5" s="48" t="s">
        <v>167</v>
      </c>
      <c r="L5" s="49"/>
      <c r="M5" s="49"/>
      <c r="N5" s="50"/>
      <c r="O5" s="47"/>
    </row>
    <row r="6" s="40" customFormat="1" ht="23.25" customHeight="1" spans="1:17">
      <c r="A6" s="59" t="str">
        <f>商检明细!H5</f>
        <v>{custName}</v>
      </c>
      <c r="B6" s="56"/>
      <c r="C6" s="56"/>
      <c r="D6" s="56"/>
      <c r="E6" s="56"/>
      <c r="F6" s="62"/>
      <c r="G6" s="59" t="str">
        <f>商检明细!B8</f>
        <v>{transportType}</v>
      </c>
      <c r="H6" s="62"/>
      <c r="I6" s="56" t="s">
        <v>13</v>
      </c>
      <c r="J6" s="62"/>
      <c r="K6" s="59" t="s">
        <v>13</v>
      </c>
      <c r="L6" s="56"/>
      <c r="M6" s="56"/>
      <c r="N6" s="62"/>
      <c r="O6" s="47"/>
    </row>
    <row r="7" s="40" customFormat="1" customHeight="1" spans="1:17">
      <c r="A7" s="48" t="s">
        <v>168</v>
      </c>
      <c r="B7" s="49"/>
      <c r="C7" s="49"/>
      <c r="D7" s="49"/>
      <c r="E7" s="49"/>
      <c r="F7" s="50"/>
      <c r="G7" s="48" t="s">
        <v>169</v>
      </c>
      <c r="H7" s="50"/>
      <c r="I7" s="48" t="s">
        <v>170</v>
      </c>
      <c r="J7" s="50"/>
      <c r="K7" s="48" t="s">
        <v>171</v>
      </c>
      <c r="L7" s="49"/>
      <c r="M7" s="49"/>
      <c r="N7" s="50"/>
      <c r="O7" s="47"/>
    </row>
    <row r="8" s="40" customFormat="1" ht="23.25" customHeight="1" spans="1:17">
      <c r="A8" s="54" t="e">
        <f>VLOOKUP(D8,资料!A3:G8,7,0)</f>
        <v>#N/A</v>
      </c>
      <c r="B8" s="55"/>
      <c r="C8" s="56" t="e">
        <f>VLOOKUP(D8,资料!A3:G8,6,0)</f>
        <v>#N/A</v>
      </c>
      <c r="D8" s="56" t="str">
        <f>商检明细!B13</f>
        <v>{companyTitle}</v>
      </c>
      <c r="E8" s="57"/>
      <c r="F8" s="58"/>
      <c r="G8" s="59" t="s">
        <v>172</v>
      </c>
      <c r="H8" s="56"/>
      <c r="I8" s="63" t="s">
        <v>173</v>
      </c>
      <c r="J8" s="64"/>
      <c r="K8" s="59" t="s">
        <v>13</v>
      </c>
      <c r="L8" s="56"/>
      <c r="M8" s="56"/>
      <c r="N8" s="62"/>
      <c r="O8" s="47"/>
    </row>
    <row r="9" s="40" customFormat="1" customHeight="1" spans="1:17">
      <c r="A9" s="48" t="s">
        <v>174</v>
      </c>
      <c r="B9" s="49"/>
      <c r="C9" s="50"/>
      <c r="D9" s="48" t="s">
        <v>175</v>
      </c>
      <c r="E9" s="49"/>
      <c r="F9" s="50"/>
      <c r="G9" s="48" t="s">
        <v>176</v>
      </c>
      <c r="H9" s="49"/>
      <c r="I9" s="49"/>
      <c r="J9" s="50"/>
      <c r="K9" s="53" t="s">
        <v>177</v>
      </c>
      <c r="L9" s="49" t="s">
        <v>178</v>
      </c>
      <c r="M9" s="49"/>
      <c r="N9" s="50"/>
      <c r="O9" s="47"/>
    </row>
    <row r="10" s="40" customFormat="1" ht="13" spans="1:17">
      <c r="A10" s="65" t="str">
        <f>商检明细!B5</f>
        <v>{saleContractCode}</v>
      </c>
      <c r="B10" s="66"/>
      <c r="C10" s="67"/>
      <c r="D10" s="68" t="str">
        <f>商检明细!D6</f>
        <v>{tradeCountryName}</v>
      </c>
      <c r="E10" s="47"/>
      <c r="F10" s="69"/>
      <c r="G10" s="65" t="str">
        <f>商检明细!D6</f>
        <v>{tradeCountryName}</v>
      </c>
      <c r="H10" s="66"/>
      <c r="I10" s="66"/>
      <c r="J10" s="67"/>
      <c r="K10" s="70" t="str">
        <f>商检明细!F8</f>
        <v>{destinationPortName}</v>
      </c>
      <c r="L10" s="47" t="str">
        <f>商检明细!D8</f>
        <v>{departurePortName}</v>
      </c>
      <c r="M10" s="47"/>
      <c r="N10" s="69"/>
      <c r="O10" s="47"/>
    </row>
    <row r="11" s="40" customFormat="1" ht="13.5" spans="1:17">
      <c r="A11" s="48" t="s">
        <v>179</v>
      </c>
      <c r="B11" s="50"/>
      <c r="C11" s="50" t="s">
        <v>180</v>
      </c>
      <c r="D11" s="71" t="s">
        <v>181</v>
      </c>
      <c r="E11" s="48" t="s">
        <v>182</v>
      </c>
      <c r="F11" s="50"/>
      <c r="G11" s="53" t="s">
        <v>183</v>
      </c>
      <c r="H11" s="53" t="s">
        <v>184</v>
      </c>
      <c r="I11" s="48" t="s">
        <v>185</v>
      </c>
      <c r="J11" s="50"/>
      <c r="K11" s="48" t="s">
        <v>186</v>
      </c>
      <c r="L11" s="50"/>
      <c r="M11" s="48" t="s">
        <v>187</v>
      </c>
      <c r="N11" s="50"/>
      <c r="O11" s="47"/>
    </row>
    <row r="12" s="40" customFormat="1" ht="13" spans="1:17">
      <c r="A12" s="72" t="s">
        <v>188</v>
      </c>
      <c r="B12" s="73"/>
      <c r="C12" s="74" t="str">
        <f>商检明细!D10&amp;"CTNS"</f>
        <v>{totalBoxes}CTNS</v>
      </c>
      <c r="D12" s="75" t="s">
        <v>189</v>
      </c>
      <c r="E12" s="75" t="str">
        <f>商检明细!F10</f>
        <v>{totalGrossweight}</v>
      </c>
      <c r="F12" s="74"/>
      <c r="G12" s="75" t="str">
        <f>商检明细!H10</f>
        <v>{totalWeight}</v>
      </c>
      <c r="H12" s="75" t="s">
        <v>190</v>
      </c>
      <c r="I12" s="76"/>
      <c r="J12" s="77"/>
      <c r="K12" s="76"/>
      <c r="L12" s="77"/>
      <c r="M12" s="76"/>
      <c r="N12" s="77"/>
      <c r="O12" s="47"/>
    </row>
    <row r="13" s="40" customFormat="1" customHeight="1" spans="1:17">
      <c r="A13" s="48" t="s">
        <v>191</v>
      </c>
      <c r="B13" s="49"/>
      <c r="C13" s="49"/>
      <c r="D13" s="49"/>
      <c r="E13" s="46"/>
      <c r="F13" s="46"/>
      <c r="G13" s="46"/>
      <c r="H13" s="46"/>
      <c r="I13" s="46"/>
      <c r="J13" s="46"/>
      <c r="K13" s="46"/>
      <c r="L13" s="46"/>
      <c r="M13" s="46"/>
      <c r="N13" s="78"/>
      <c r="O13" s="47"/>
    </row>
    <row r="14" s="40" customFormat="1" ht="20.25" customHeight="1" spans="1:17">
      <c r="A14" s="79" t="s">
        <v>13</v>
      </c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80"/>
      <c r="O14" s="47"/>
    </row>
    <row r="15" s="40" customFormat="1" customHeight="1" spans="1:17">
      <c r="A15" s="48" t="s">
        <v>192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50"/>
      <c r="O15" s="47"/>
    </row>
    <row r="16" s="40" customFormat="1" ht="62.25" customHeight="1" spans="1:17">
      <c r="A16" s="81" t="s">
        <v>13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  <c r="O16" s="84"/>
      <c r="P16" s="85"/>
      <c r="Q16" s="85"/>
    </row>
    <row r="17" s="40" customFormat="1" ht="21" customHeight="1" spans="1:15">
      <c r="A17" s="86" t="s">
        <v>193</v>
      </c>
      <c r="B17" s="86" t="s">
        <v>194</v>
      </c>
      <c r="C17" s="87" t="s">
        <v>195</v>
      </c>
      <c r="D17" s="88"/>
      <c r="E17" s="86" t="s">
        <v>73</v>
      </c>
      <c r="F17" s="86" t="s">
        <v>196</v>
      </c>
      <c r="G17" s="86" t="s">
        <v>197</v>
      </c>
      <c r="H17" s="86" t="s">
        <v>198</v>
      </c>
      <c r="I17" s="86" t="s">
        <v>199</v>
      </c>
      <c r="J17" s="86" t="s">
        <v>200</v>
      </c>
      <c r="K17" s="86" t="s">
        <v>201</v>
      </c>
      <c r="L17" s="86" t="s">
        <v>202</v>
      </c>
      <c r="M17" s="87" t="s">
        <v>203</v>
      </c>
      <c r="N17" s="88"/>
      <c r="O17" s="47"/>
    </row>
    <row r="18" s="40" customFormat="1" ht="14.25" customHeight="1" spans="1:15">
      <c r="A18" s="89">
        <v>1</v>
      </c>
      <c r="B18" s="90" t="str">
        <f>商检明细!L17</f>
        <v>{.hsCode}</v>
      </c>
      <c r="C18" s="91" t="str">
        <f>INDEX(商检明细!$A$17:$V$100,A18,3)</f>
        <v>{.customsDeclarationNameEng}</v>
      </c>
      <c r="D18" s="92"/>
      <c r="E18" s="93" t="str">
        <f>INDEX(商检明细!$A$17:$Y$64,A18,5)</f>
        <v>{.declarationQuantity}</v>
      </c>
      <c r="F18" s="93" t="str">
        <f>INDEX(商检明细!$A$17:$Y$64,A18,8)</f>
        <v>{.hsMeasureUnitName}</v>
      </c>
      <c r="G18" s="94" t="str">
        <f>INDEX(商检明细!$A$17:$Y$64,A18,6)</f>
        <v>{.saleUnitPriceAmount}</v>
      </c>
      <c r="H18" s="94" t="str">
        <f>INDEX(商检明细!$A$17:$Y$64,A18,7)</f>
        <v>{.saleAmountAmount}</v>
      </c>
      <c r="I18" s="95" t="str">
        <f>IF(H18=0,"","美元")</f>
        <v>美元</v>
      </c>
      <c r="J18" s="96" t="str">
        <f>IF(H18=0,"","中国")</f>
        <v>中国</v>
      </c>
      <c r="K18" s="97" t="str">
        <f>商检明细!D6</f>
        <v>{tradeCountryName}</v>
      </c>
      <c r="L18" s="97" t="str">
        <f>IF(H18=0,"","宁波")</f>
        <v>宁波</v>
      </c>
      <c r="M18" s="98" t="str">
        <f>IF(H18=0,"","照章征税")</f>
        <v>照章征税</v>
      </c>
      <c r="N18" s="99"/>
      <c r="O18" s="47"/>
    </row>
    <row r="19" s="40" customFormat="1" ht="39" spans="1:15">
      <c r="A19" s="89"/>
      <c r="B19" s="90"/>
      <c r="C19" s="100" t="str">
        <f>INDEX(商检明细!$A$17:$V$100,A18,2)</f>
        <v>{.declarationName}</v>
      </c>
      <c r="D19" s="101"/>
      <c r="E19" s="93" t="str">
        <f>INDEX(商检明细!$A$17:$Y$64,A18,25)</f>
        <v>{.totalNetweightWeight}</v>
      </c>
      <c r="F19" s="93" t="str">
        <f>IF(E19=0,"","千克")</f>
        <v>千克</v>
      </c>
      <c r="G19" s="102"/>
      <c r="H19" s="102"/>
      <c r="I19" s="95"/>
      <c r="J19" s="96"/>
      <c r="K19" s="97"/>
      <c r="L19" s="97"/>
      <c r="M19" s="103"/>
      <c r="N19" s="104"/>
      <c r="O19" s="47"/>
    </row>
    <row r="20" s="40" customFormat="1" ht="26" spans="1:15">
      <c r="A20" s="89"/>
      <c r="B20" s="90"/>
      <c r="C20" s="105" t="str">
        <f>INDEX(商检明细!$A$17:$V$100,A18,4)</f>
        <v>{.customsDeclareElements}</v>
      </c>
      <c r="D20" s="106"/>
      <c r="E20" s="93" t="s">
        <v>13</v>
      </c>
      <c r="F20" s="93" t="s">
        <v>13</v>
      </c>
      <c r="G20" s="102"/>
      <c r="H20" s="102"/>
      <c r="I20" s="95"/>
      <c r="J20" s="96"/>
      <c r="K20" s="97"/>
      <c r="L20" s="97"/>
      <c r="M20" s="107"/>
      <c r="N20" s="108"/>
      <c r="O20" s="47"/>
    </row>
    <row r="21" s="40" customFormat="1" ht="14.25" customHeight="1" spans="1:15">
      <c r="A21" s="89">
        <v>2</v>
      </c>
      <c r="B21" s="90"/>
      <c r="C21" s="91">
        <f>INDEX(商检明细!$A$17:$V$100,A21,3)</f>
        <v>0</v>
      </c>
      <c r="D21" s="92"/>
      <c r="E21" s="93">
        <f>INDEX(商检明细!$A$17:$Y$64,A21,5)</f>
        <v>0</v>
      </c>
      <c r="F21" s="93">
        <f>INDEX(商检明细!$A$17:$Y$64,A21,8)</f>
        <v>0</v>
      </c>
      <c r="G21" s="94">
        <f>INDEX(商检明细!$A$17:$Y$64,A21,6)</f>
        <v>0</v>
      </c>
      <c r="H21" s="94">
        <f>INDEX(商检明细!$A$17:$Y$64,A21,7)</f>
        <v>0</v>
      </c>
      <c r="I21" s="95" t="str">
        <f>IF(H21=0,"","美元")</f>
        <v/>
      </c>
      <c r="J21" s="96" t="str">
        <f>IF(H21=0,"","中国")</f>
        <v/>
      </c>
      <c r="K21" s="97" t="str">
        <f>G$10</f>
        <v>{tradeCountryName}</v>
      </c>
      <c r="L21" s="97" t="str">
        <f>IF(H21=0,"","宁波")</f>
        <v/>
      </c>
      <c r="M21" s="98" t="str">
        <f>IF(H21=0,"","照章征税")</f>
        <v/>
      </c>
      <c r="N21" s="99"/>
      <c r="O21" s="47"/>
    </row>
    <row r="22" s="40" customFormat="1" ht="14.25" customHeight="1" spans="1:15">
      <c r="A22" s="89"/>
      <c r="B22" s="90"/>
      <c r="C22" s="100">
        <f>INDEX(商检明细!$A$17:$V$100,A21,2)</f>
        <v>0</v>
      </c>
      <c r="D22" s="101"/>
      <c r="E22" s="93">
        <f>INDEX(商检明细!$A$17:$Y$64,A21,25)</f>
        <v>0</v>
      </c>
      <c r="F22" s="93" t="str">
        <f>IF(E22=0,"","千克")</f>
        <v/>
      </c>
      <c r="G22" s="102"/>
      <c r="H22" s="102"/>
      <c r="I22" s="95"/>
      <c r="J22" s="96"/>
      <c r="K22" s="97"/>
      <c r="L22" s="97"/>
      <c r="M22" s="103"/>
      <c r="N22" s="104"/>
      <c r="O22" s="47"/>
    </row>
    <row r="23" s="40" customFormat="1" ht="13" spans="1:15">
      <c r="A23" s="89"/>
      <c r="B23" s="90"/>
      <c r="C23" s="105">
        <f>INDEX(商检明细!$A$17:$V$100,A21,4)</f>
        <v>0</v>
      </c>
      <c r="D23" s="106"/>
      <c r="E23" s="93" t="s">
        <v>13</v>
      </c>
      <c r="F23" s="93" t="s">
        <v>13</v>
      </c>
      <c r="G23" s="102"/>
      <c r="H23" s="102"/>
      <c r="I23" s="95"/>
      <c r="J23" s="96"/>
      <c r="K23" s="97"/>
      <c r="L23" s="97"/>
      <c r="M23" s="107"/>
      <c r="N23" s="108"/>
      <c r="O23" s="47"/>
    </row>
    <row r="24" s="40" customFormat="1" ht="14.25" customHeight="1" spans="1:15">
      <c r="A24" s="89">
        <v>3</v>
      </c>
      <c r="B24" s="90"/>
      <c r="C24" s="91">
        <f>INDEX(商检明细!$A$17:$V$100,A24,3)</f>
        <v>0</v>
      </c>
      <c r="D24" s="92"/>
      <c r="E24" s="93">
        <f>INDEX(商检明细!$A$17:$Y$64,A24,5)</f>
        <v>0</v>
      </c>
      <c r="F24" s="93">
        <f>INDEX(商检明细!$A$17:$Y$64,A24,8)</f>
        <v>0</v>
      </c>
      <c r="G24" s="94">
        <f>INDEX(商检明细!$A$17:$Y$64,A24,6)</f>
        <v>0</v>
      </c>
      <c r="H24" s="94">
        <f>INDEX(商检明细!$A$17:$Y$64,A24,7)</f>
        <v>0</v>
      </c>
      <c r="I24" s="95" t="str">
        <f>IF(H24=0,"","美元")</f>
        <v/>
      </c>
      <c r="J24" s="96" t="str">
        <f>IF(H24=0,"","中国")</f>
        <v/>
      </c>
      <c r="K24" s="97" t="str">
        <f>G$10</f>
        <v>{tradeCountryName}</v>
      </c>
      <c r="L24" s="97" t="str">
        <f>IF(H24=0,"","宁波")</f>
        <v/>
      </c>
      <c r="M24" s="98" t="str">
        <f>IF(H24=0,"","照章征税")</f>
        <v/>
      </c>
      <c r="N24" s="99"/>
      <c r="O24" s="47"/>
    </row>
    <row r="25" s="40" customFormat="1" ht="14.25" customHeight="1" spans="1:15">
      <c r="A25" s="89"/>
      <c r="B25" s="90"/>
      <c r="C25" s="100"/>
      <c r="D25" s="101"/>
      <c r="E25" s="93">
        <f>INDEX(商检明细!$A$17:$Y$64,A24,25)</f>
        <v>0</v>
      </c>
      <c r="F25" s="93" t="str">
        <f>IF(E25=0,"","千克")</f>
        <v/>
      </c>
      <c r="G25" s="102"/>
      <c r="H25" s="102"/>
      <c r="I25" s="95"/>
      <c r="J25" s="96"/>
      <c r="K25" s="97"/>
      <c r="L25" s="97"/>
      <c r="M25" s="103"/>
      <c r="N25" s="104"/>
      <c r="O25" s="47"/>
    </row>
    <row r="26" s="40" customFormat="1" ht="13" spans="1:15">
      <c r="A26" s="89"/>
      <c r="B26" s="90"/>
      <c r="C26" s="105"/>
      <c r="D26" s="106"/>
      <c r="E26" s="93"/>
      <c r="F26" s="93"/>
      <c r="G26" s="102"/>
      <c r="H26" s="102"/>
      <c r="I26" s="95"/>
      <c r="J26" s="96"/>
      <c r="K26" s="97"/>
      <c r="L26" s="97"/>
      <c r="M26" s="107"/>
      <c r="N26" s="108"/>
      <c r="O26" s="47"/>
    </row>
    <row r="27" s="40" customFormat="1" ht="14.25" customHeight="1" spans="1:15">
      <c r="A27" s="89">
        <v>4</v>
      </c>
      <c r="B27" s="90"/>
      <c r="C27" s="91">
        <f>INDEX(商检明细!$A$17:$V$100,A27,3)</f>
        <v>0</v>
      </c>
      <c r="D27" s="92"/>
      <c r="E27" s="93">
        <f>INDEX(商检明细!$A$17:$Y$64,A27,5)</f>
        <v>0</v>
      </c>
      <c r="F27" s="93">
        <f>INDEX(商检明细!$A$17:$Y$64,A27,8)</f>
        <v>0</v>
      </c>
      <c r="G27" s="94">
        <f>INDEX(商检明细!$A$17:$Y$64,A27,6)</f>
        <v>0</v>
      </c>
      <c r="H27" s="94">
        <f>INDEX(商检明细!$A$17:$Y$64,A27,7)</f>
        <v>0</v>
      </c>
      <c r="I27" s="95" t="str">
        <f>IF(H27=0,"","美元")</f>
        <v/>
      </c>
      <c r="J27" s="96" t="str">
        <f>IF(H27=0,"","中国")</f>
        <v/>
      </c>
      <c r="K27" s="97" t="str">
        <f>G$10</f>
        <v>{tradeCountryName}</v>
      </c>
      <c r="L27" s="97" t="str">
        <f>IF(H27=0,"","宁波")</f>
        <v/>
      </c>
      <c r="M27" s="98" t="str">
        <f>IF(H27=0,"","照章征税")</f>
        <v/>
      </c>
      <c r="N27" s="99"/>
      <c r="O27" s="47"/>
    </row>
    <row r="28" s="40" customFormat="1" ht="14.25" customHeight="1" spans="1:15">
      <c r="A28" s="89"/>
      <c r="B28" s="90"/>
      <c r="C28" s="100">
        <f>INDEX(商检明细!$A$17:$V$100,A27,2)</f>
        <v>0</v>
      </c>
      <c r="D28" s="101"/>
      <c r="E28" s="93">
        <f>INDEX(商检明细!$A$17:$Y$64,A27,25)</f>
        <v>0</v>
      </c>
      <c r="F28" s="93" t="str">
        <f>IF(E28=0,"","千克")</f>
        <v/>
      </c>
      <c r="G28" s="102"/>
      <c r="H28" s="102"/>
      <c r="I28" s="95"/>
      <c r="J28" s="96"/>
      <c r="K28" s="97"/>
      <c r="L28" s="97"/>
      <c r="M28" s="103"/>
      <c r="N28" s="104"/>
      <c r="O28" s="47"/>
    </row>
    <row r="29" s="40" customFormat="1" ht="13" spans="1:15">
      <c r="A29" s="89"/>
      <c r="B29" s="90"/>
      <c r="C29" s="105">
        <f>INDEX(商检明细!$A$17:$V$100,A27,4)</f>
        <v>0</v>
      </c>
      <c r="D29" s="106"/>
      <c r="E29" s="93"/>
      <c r="F29" s="93"/>
      <c r="G29" s="102"/>
      <c r="H29" s="102"/>
      <c r="I29" s="95"/>
      <c r="J29" s="96"/>
      <c r="K29" s="97"/>
      <c r="L29" s="97"/>
      <c r="M29" s="107"/>
      <c r="N29" s="108"/>
      <c r="O29" s="47"/>
    </row>
    <row r="30" s="40" customFormat="1" ht="14.25" customHeight="1" spans="1:15">
      <c r="A30" s="89">
        <v>5</v>
      </c>
      <c r="B30" s="90"/>
      <c r="C30" s="91">
        <f>INDEX(商检明细!$A$17:$V$100,A30,3)</f>
        <v>0</v>
      </c>
      <c r="D30" s="92"/>
      <c r="E30" s="93">
        <f>INDEX(商检明细!$A$17:$Y$64,A30,5)</f>
        <v>0</v>
      </c>
      <c r="F30" s="93">
        <f>INDEX(商检明细!$A$17:$Y$64,A30,8)</f>
        <v>0</v>
      </c>
      <c r="G30" s="94">
        <f>INDEX(商检明细!$A$17:$Y$64,A30,6)</f>
        <v>0</v>
      </c>
      <c r="H30" s="94">
        <f>INDEX(商检明细!$A$17:$Y$64,A30,7)</f>
        <v>0</v>
      </c>
      <c r="I30" s="95" t="str">
        <f>IF(H30=0,"","美元")</f>
        <v/>
      </c>
      <c r="J30" s="96" t="str">
        <f>IF(H30=0,"","中国")</f>
        <v/>
      </c>
      <c r="K30" s="97" t="str">
        <f>G$10</f>
        <v>{tradeCountryName}</v>
      </c>
      <c r="L30" s="97" t="str">
        <f>IF(H30=0,"","宁波")</f>
        <v/>
      </c>
      <c r="M30" s="98" t="str">
        <f>IF(H30=0,"","照章征税")</f>
        <v/>
      </c>
      <c r="N30" s="99"/>
      <c r="O30" s="47"/>
    </row>
    <row r="31" s="40" customFormat="1" ht="14.25" customHeight="1" spans="1:15">
      <c r="A31" s="89"/>
      <c r="B31" s="90"/>
      <c r="C31" s="100"/>
      <c r="D31" s="101"/>
      <c r="E31" s="93">
        <f>INDEX(商检明细!$A$17:$Y$64,A30,25)</f>
        <v>0</v>
      </c>
      <c r="F31" s="93" t="str">
        <f>IF(E31=0,"","千克")</f>
        <v/>
      </c>
      <c r="G31" s="102"/>
      <c r="H31" s="102"/>
      <c r="I31" s="95"/>
      <c r="J31" s="96"/>
      <c r="K31" s="97"/>
      <c r="L31" s="97"/>
      <c r="M31" s="103"/>
      <c r="N31" s="104"/>
      <c r="O31" s="47"/>
    </row>
    <row r="32" s="40" customFormat="1" ht="13" spans="1:15">
      <c r="A32" s="89"/>
      <c r="B32" s="90"/>
      <c r="C32" s="105"/>
      <c r="D32" s="106"/>
      <c r="E32" s="93"/>
      <c r="F32" s="93"/>
      <c r="G32" s="102"/>
      <c r="H32" s="102"/>
      <c r="I32" s="95"/>
      <c r="J32" s="96"/>
      <c r="K32" s="97"/>
      <c r="L32" s="97"/>
      <c r="M32" s="107"/>
      <c r="N32" s="108"/>
      <c r="O32" s="47"/>
    </row>
    <row r="33" s="40" customFormat="1" ht="14.25" customHeight="1" spans="1:15">
      <c r="A33" s="89">
        <v>6</v>
      </c>
      <c r="B33" s="90"/>
      <c r="C33" s="91">
        <f>INDEX(商检明细!$A$17:$V$100,A33,3)</f>
        <v>0</v>
      </c>
      <c r="D33" s="92"/>
      <c r="E33" s="93">
        <f>INDEX(商检明细!$A$17:$Y$64,A33,5)</f>
        <v>0</v>
      </c>
      <c r="F33" s="93">
        <f>INDEX(商检明细!$A$17:$Y$64,A33,8)</f>
        <v>0</v>
      </c>
      <c r="G33" s="94">
        <f>商检明细!M22</f>
        <v>0</v>
      </c>
      <c r="H33" s="94">
        <f>INDEX(商检明细!$A$17:$Y$64,A33,7)</f>
        <v>0</v>
      </c>
      <c r="I33" s="95" t="str">
        <f>IF(H33=0,"","美元")</f>
        <v/>
      </c>
      <c r="J33" s="96" t="str">
        <f>IF(H33=0,"","中国")</f>
        <v/>
      </c>
      <c r="K33" s="97" t="str">
        <f>G$10</f>
        <v>{tradeCountryName}</v>
      </c>
      <c r="L33" s="97" t="str">
        <f>IF(H33=0,"","宁波")</f>
        <v/>
      </c>
      <c r="M33" s="98" t="str">
        <f>IF(H33=0,"","照章征税")</f>
        <v/>
      </c>
      <c r="N33" s="99"/>
      <c r="O33" s="47"/>
    </row>
    <row r="34" s="40" customFormat="1" ht="13" spans="1:15">
      <c r="A34" s="89"/>
      <c r="B34" s="90"/>
      <c r="C34" s="100">
        <f>INDEX(商检明细!$A$17:$V$100,A33,2)</f>
        <v>0</v>
      </c>
      <c r="D34" s="101"/>
      <c r="E34" s="93">
        <f>INDEX(商检明细!$A$17:$Y$64,A33,25)</f>
        <v>0</v>
      </c>
      <c r="F34" s="93" t="str">
        <f>IF(E34=0,"","千克")</f>
        <v/>
      </c>
      <c r="G34" s="102"/>
      <c r="H34" s="102"/>
      <c r="I34" s="95"/>
      <c r="J34" s="96"/>
      <c r="K34" s="97"/>
      <c r="L34" s="97"/>
      <c r="M34" s="103"/>
      <c r="N34" s="104"/>
      <c r="O34" s="47"/>
    </row>
    <row r="35" s="40" customFormat="1" ht="13" spans="1:15">
      <c r="A35" s="89"/>
      <c r="B35" s="90"/>
      <c r="C35" s="105">
        <f>INDEX(商检明细!$A$17:$V$100,A33,4)</f>
        <v>0</v>
      </c>
      <c r="D35" s="106"/>
      <c r="E35" s="93"/>
      <c r="F35" s="93"/>
      <c r="G35" s="102"/>
      <c r="H35" s="102"/>
      <c r="I35" s="95"/>
      <c r="J35" s="96"/>
      <c r="K35" s="97"/>
      <c r="L35" s="97"/>
      <c r="M35" s="107"/>
      <c r="N35" s="108"/>
      <c r="O35" s="47"/>
    </row>
    <row r="36" s="40" customFormat="1" ht="14.25" customHeight="1" spans="1:15">
      <c r="A36" s="89">
        <v>7</v>
      </c>
      <c r="B36" s="90"/>
      <c r="C36" s="91">
        <f>INDEX(商检明细!$A$17:$V$100,A36,3)</f>
        <v>0</v>
      </c>
      <c r="D36" s="92"/>
      <c r="E36" s="93">
        <f>INDEX(商检明细!$A$17:$Y$64,A36,5)</f>
        <v>0</v>
      </c>
      <c r="F36" s="93">
        <f>INDEX(商检明细!$A$17:$Y$64,A36,8)</f>
        <v>0</v>
      </c>
      <c r="G36" s="94">
        <f>商检明细!M23</f>
        <v>0</v>
      </c>
      <c r="H36" s="94">
        <f>INDEX(商检明细!$A$17:$Y$64,A36,7)</f>
        <v>0</v>
      </c>
      <c r="I36" s="95" t="str">
        <f>IF(H36=0,"","美元")</f>
        <v/>
      </c>
      <c r="J36" s="96" t="str">
        <f>IF(H36=0,"","中国")</f>
        <v/>
      </c>
      <c r="K36" s="97" t="str">
        <f>G$10</f>
        <v>{tradeCountryName}</v>
      </c>
      <c r="L36" s="97" t="str">
        <f>IF(H36=0,"","宁波")</f>
        <v/>
      </c>
      <c r="M36" s="98" t="str">
        <f>IF(H36=0,"","照章征税")</f>
        <v/>
      </c>
      <c r="N36" s="99"/>
      <c r="O36" s="47"/>
    </row>
    <row r="37" s="40" customFormat="1" ht="14.25" customHeight="1" spans="1:15">
      <c r="A37" s="89"/>
      <c r="B37" s="90"/>
      <c r="C37" s="100"/>
      <c r="D37" s="101"/>
      <c r="E37" s="93">
        <f>INDEX(商检明细!$A$17:$Y$64,A36,25)</f>
        <v>0</v>
      </c>
      <c r="F37" s="93" t="str">
        <f>IF(E37=0,"","千克")</f>
        <v/>
      </c>
      <c r="G37" s="102"/>
      <c r="H37" s="102"/>
      <c r="I37" s="95"/>
      <c r="J37" s="96"/>
      <c r="K37" s="97"/>
      <c r="L37" s="97"/>
      <c r="M37" s="103"/>
      <c r="N37" s="104"/>
      <c r="O37" s="47"/>
    </row>
    <row r="38" s="40" customFormat="1" ht="13" spans="1:15">
      <c r="A38" s="89"/>
      <c r="B38" s="90"/>
      <c r="C38" s="105"/>
      <c r="D38" s="106"/>
      <c r="E38" s="93"/>
      <c r="F38" s="93"/>
      <c r="G38" s="102"/>
      <c r="H38" s="102"/>
      <c r="I38" s="95"/>
      <c r="J38" s="96"/>
      <c r="K38" s="97"/>
      <c r="L38" s="97"/>
      <c r="M38" s="107"/>
      <c r="N38" s="108"/>
      <c r="O38" s="47"/>
    </row>
    <row r="39" s="40" customFormat="1" ht="14.25" customHeight="1" spans="1:15">
      <c r="A39" s="89">
        <v>8</v>
      </c>
      <c r="B39" s="90"/>
      <c r="C39" s="91">
        <f>INDEX(商检明细!$A$17:$V$100,A39,3)</f>
        <v>0</v>
      </c>
      <c r="D39" s="92"/>
      <c r="E39" s="93">
        <f>INDEX(商检明细!$A$17:$Y$64,A39,5)</f>
        <v>0</v>
      </c>
      <c r="F39" s="93">
        <f>INDEX(商检明细!$A$17:$Y$64,A39,8)</f>
        <v>0</v>
      </c>
      <c r="G39" s="94">
        <f>商检明细!M24</f>
        <v>0</v>
      </c>
      <c r="H39" s="94">
        <f>INDEX(商检明细!$A$17:$Y$64,A39,7)</f>
        <v>0</v>
      </c>
      <c r="I39" s="95" t="str">
        <f>IF(H39=0,"","美元")</f>
        <v/>
      </c>
      <c r="J39" s="96" t="str">
        <f>IF(H39=0,"","中国")</f>
        <v/>
      </c>
      <c r="K39" s="97" t="str">
        <f>G$10</f>
        <v>{tradeCountryName}</v>
      </c>
      <c r="L39" s="97" t="str">
        <f>IF(H39=0,"","宁波")</f>
        <v/>
      </c>
      <c r="M39" s="98" t="str">
        <f>IF(H39=0,"","照章征税")</f>
        <v/>
      </c>
      <c r="N39" s="99"/>
      <c r="O39" s="47"/>
    </row>
    <row r="40" s="40" customFormat="1" ht="14.25" customHeight="1" spans="1:15">
      <c r="A40" s="89"/>
      <c r="B40" s="90"/>
      <c r="C40" s="100">
        <f>INDEX(商检明细!$A$17:$V$100,A39,2)</f>
        <v>0</v>
      </c>
      <c r="D40" s="101"/>
      <c r="E40" s="93">
        <f>INDEX(商检明细!$A$17:$Y$64,A39,25)</f>
        <v>0</v>
      </c>
      <c r="F40" s="93" t="str">
        <f>IF(E40=0,"","千克")</f>
        <v/>
      </c>
      <c r="G40" s="102"/>
      <c r="H40" s="102"/>
      <c r="I40" s="95"/>
      <c r="J40" s="96"/>
      <c r="K40" s="97"/>
      <c r="L40" s="97"/>
      <c r="M40" s="103"/>
      <c r="N40" s="104"/>
      <c r="O40" s="47"/>
    </row>
    <row r="41" s="40" customFormat="1" ht="14.25" customHeight="1" spans="1:15">
      <c r="A41" s="89"/>
      <c r="B41" s="90"/>
      <c r="C41" s="105">
        <f>INDEX(商检明细!$A$17:$V$100,A39,4)</f>
        <v>0</v>
      </c>
      <c r="D41" s="106"/>
      <c r="E41" s="93"/>
      <c r="F41" s="93"/>
      <c r="G41" s="102"/>
      <c r="H41" s="102"/>
      <c r="I41" s="95"/>
      <c r="J41" s="96"/>
      <c r="K41" s="97"/>
      <c r="L41" s="97"/>
      <c r="M41" s="107"/>
      <c r="N41" s="108"/>
      <c r="O41" s="47"/>
    </row>
    <row r="42" s="40" customFormat="1" ht="14.25" customHeight="1" spans="1:15">
      <c r="A42" s="89">
        <v>9</v>
      </c>
      <c r="B42" s="90"/>
      <c r="C42" s="91">
        <f>INDEX(商检明细!$A$17:$V$100,A42,3)</f>
        <v>0</v>
      </c>
      <c r="D42" s="92"/>
      <c r="E42" s="93">
        <f>INDEX(商检明细!$A$17:$Y$64,A42,5)</f>
        <v>0</v>
      </c>
      <c r="F42" s="93">
        <f>INDEX(商检明细!$A$17:$Y$64,A42,8)</f>
        <v>0</v>
      </c>
      <c r="G42" s="94">
        <f>商检明细!M25</f>
        <v>0</v>
      </c>
      <c r="H42" s="94">
        <f>INDEX(商检明细!$A$17:$Y$64,A42,7)</f>
        <v>0</v>
      </c>
      <c r="I42" s="95" t="str">
        <f>IF(H42=0,"","美元")</f>
        <v/>
      </c>
      <c r="J42" s="96" t="str">
        <f>IF(H42=0,"","中国")</f>
        <v/>
      </c>
      <c r="K42" s="97" t="str">
        <f>G$10</f>
        <v>{tradeCountryName}</v>
      </c>
      <c r="L42" s="97" t="str">
        <f>IF(H42=0,"","宁波")</f>
        <v/>
      </c>
      <c r="M42" s="98" t="str">
        <f>IF(H42=0,"","照章征税")</f>
        <v/>
      </c>
      <c r="N42" s="99"/>
      <c r="O42" s="47"/>
    </row>
    <row r="43" s="40" customFormat="1" ht="13" spans="1:15">
      <c r="A43" s="89"/>
      <c r="B43" s="90"/>
      <c r="C43" s="100">
        <f>INDEX(商检明细!$A$17:$V$100,A42,2)</f>
        <v>0</v>
      </c>
      <c r="D43" s="101"/>
      <c r="E43" s="93">
        <f>INDEX(商检明细!$A$17:$Y$64,A42,25)</f>
        <v>0</v>
      </c>
      <c r="F43" s="93" t="str">
        <f>IF(E43=0,"","千克")</f>
        <v/>
      </c>
      <c r="G43" s="102"/>
      <c r="H43" s="102"/>
      <c r="I43" s="95"/>
      <c r="J43" s="96"/>
      <c r="K43" s="97"/>
      <c r="L43" s="97"/>
      <c r="M43" s="103"/>
      <c r="N43" s="104"/>
      <c r="O43" s="47"/>
    </row>
    <row r="44" s="40" customFormat="1" ht="13" spans="1:15">
      <c r="A44" s="89"/>
      <c r="B44" s="90"/>
      <c r="C44" s="105">
        <f>INDEX(商检明细!$A$17:$V$100,A42,4)</f>
        <v>0</v>
      </c>
      <c r="D44" s="106"/>
      <c r="E44" s="93"/>
      <c r="F44" s="93"/>
      <c r="G44" s="102"/>
      <c r="H44" s="102"/>
      <c r="I44" s="95"/>
      <c r="J44" s="96"/>
      <c r="K44" s="97"/>
      <c r="L44" s="97"/>
      <c r="M44" s="107"/>
      <c r="N44" s="108"/>
      <c r="O44" s="47"/>
    </row>
    <row r="45" s="40" customFormat="1" ht="13.5" spans="1:15">
      <c r="A45" s="48" t="s">
        <v>204</v>
      </c>
      <c r="B45" s="49"/>
      <c r="C45" s="49"/>
      <c r="D45" s="49" t="s">
        <v>205</v>
      </c>
      <c r="E45" s="49"/>
      <c r="F45" s="49"/>
      <c r="G45" s="49" t="s">
        <v>206</v>
      </c>
      <c r="H45" s="49"/>
      <c r="I45" s="49"/>
      <c r="J45" s="49"/>
      <c r="K45" s="109" t="s">
        <v>207</v>
      </c>
      <c r="L45" s="109"/>
      <c r="M45" s="109"/>
      <c r="N45" s="88"/>
      <c r="O45" s="47"/>
    </row>
    <row r="46" s="40" customFormat="1" ht="13.5" spans="1:15">
      <c r="A46" s="48" t="s">
        <v>208</v>
      </c>
      <c r="B46" s="49"/>
      <c r="C46" s="49" t="s">
        <v>209</v>
      </c>
      <c r="D46" s="49" t="s">
        <v>210</v>
      </c>
      <c r="E46" s="49"/>
      <c r="F46" s="49"/>
      <c r="G46" s="49" t="s">
        <v>211</v>
      </c>
      <c r="H46" s="49"/>
      <c r="I46" s="49"/>
      <c r="J46" s="110"/>
      <c r="K46" s="111" t="s">
        <v>212</v>
      </c>
      <c r="L46" s="111"/>
      <c r="M46" s="111"/>
      <c r="N46" s="112"/>
      <c r="O46" s="47"/>
    </row>
    <row r="47" s="40" customFormat="1" ht="13.5" spans="1:15">
      <c r="A47" s="87" t="s">
        <v>213</v>
      </c>
      <c r="B47" s="109"/>
      <c r="C47" s="109"/>
      <c r="D47" s="109"/>
      <c r="E47" s="109"/>
      <c r="F47" s="109"/>
      <c r="G47" s="88"/>
      <c r="H47" s="109" t="s">
        <v>214</v>
      </c>
      <c r="I47" s="109"/>
      <c r="J47" s="88"/>
      <c r="K47" s="113"/>
      <c r="L47" s="113"/>
      <c r="M47" s="113"/>
      <c r="N47" s="114"/>
      <c r="O47" s="47"/>
    </row>
    <row r="48" s="40" customFormat="1" ht="13" spans="1:15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</row>
    <row r="49" s="40" customFormat="1" ht="13" spans="1:15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</row>
    <row r="50" s="40" customFormat="1" ht="13" spans="1:15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="40" customFormat="1" ht="13"/>
    <row r="52" s="40" customFormat="1" ht="17.5" spans="1:15">
      <c r="D52" s="115"/>
    </row>
    <row r="53" s="40" customFormat="1" ht="15" spans="1:15">
      <c r="D53" s="116"/>
    </row>
    <row r="54" s="40" customFormat="1" ht="15" spans="1:15">
      <c r="D54" s="116"/>
    </row>
    <row r="55" s="40" customFormat="1" ht="15" spans="1:15">
      <c r="D55" s="116"/>
    </row>
    <row r="56" s="40" customFormat="1" ht="13"/>
    <row r="57" s="40" customFormat="1" ht="13"/>
    <row r="58" s="40" customFormat="1" ht="13"/>
    <row r="59" s="40" customFormat="1" ht="13"/>
    <row r="60" s="40" customFormat="1" ht="13"/>
    <row r="61" s="40" customFormat="1" ht="13"/>
    <row r="62" s="40" customFormat="1" ht="13"/>
    <row r="63" s="40" customFormat="1" ht="13"/>
    <row r="64" s="40" customFormat="1" ht="13"/>
    <row r="65" s="40" customFormat="1" ht="13"/>
    <row r="66" s="40" customFormat="1" ht="13"/>
    <row r="67" s="40" customFormat="1" ht="13"/>
    <row r="68" s="40" customFormat="1" ht="13"/>
    <row r="69" s="40" customFormat="1" ht="13"/>
    <row r="70" s="40" customFormat="1" ht="13"/>
    <row r="71" s="40" customFormat="1" ht="13"/>
    <row r="72" s="40" customFormat="1" ht="13"/>
    <row r="73" s="40" customFormat="1" ht="13"/>
    <row r="74" s="40" customFormat="1" ht="13"/>
    <row r="75" s="40" customFormat="1" ht="13"/>
    <row r="76" s="40" customFormat="1" ht="13"/>
    <row r="77" s="40" customFormat="1" ht="13"/>
    <row r="78" s="40" customFormat="1" ht="13"/>
    <row r="79" s="40" customFormat="1" ht="13"/>
    <row r="80" s="40" customFormat="1" ht="13"/>
    <row r="81" s="40" customFormat="1" ht="13"/>
    <row r="82" s="40" customFormat="1" ht="13"/>
    <row r="83" s="40" customFormat="1" ht="13"/>
    <row r="84" s="40" customFormat="1" ht="13"/>
    <row r="85" s="40" customFormat="1" ht="13"/>
    <row r="86" s="41" customFormat="1" ht="11.5"/>
    <row r="87" s="41" customFormat="1" ht="11.5"/>
    <row r="88" s="41" customFormat="1" ht="11.5"/>
    <row r="89" s="41" customFormat="1" ht="11.5"/>
    <row r="90" s="41" customFormat="1" ht="11.5"/>
    <row r="91" s="41" customFormat="1" ht="11.5"/>
  </sheetData>
  <mergeCells count="145">
    <mergeCell ref="A1:N1"/>
    <mergeCell ref="A2:B2"/>
    <mergeCell ref="F2:H2"/>
    <mergeCell ref="I2:N2"/>
    <mergeCell ref="A3:F3"/>
    <mergeCell ref="G3:H3"/>
    <mergeCell ref="I3:J3"/>
    <mergeCell ref="L3:N3"/>
    <mergeCell ref="A4:B4"/>
    <mergeCell ref="D4:F4"/>
    <mergeCell ref="G4:H4"/>
    <mergeCell ref="I4:J4"/>
    <mergeCell ref="L4:N4"/>
    <mergeCell ref="A5:F5"/>
    <mergeCell ref="G5:H5"/>
    <mergeCell ref="I5:J5"/>
    <mergeCell ref="K5:N5"/>
    <mergeCell ref="A6:C6"/>
    <mergeCell ref="D6:F6"/>
    <mergeCell ref="G6:H6"/>
    <mergeCell ref="I6:J6"/>
    <mergeCell ref="K6:N6"/>
    <mergeCell ref="A7:F7"/>
    <mergeCell ref="G7:H7"/>
    <mergeCell ref="I7:J7"/>
    <mergeCell ref="K7:N7"/>
    <mergeCell ref="A8:B8"/>
    <mergeCell ref="D8:F8"/>
    <mergeCell ref="G8:H8"/>
    <mergeCell ref="I8:J8"/>
    <mergeCell ref="K8:N8"/>
    <mergeCell ref="A9:C9"/>
    <mergeCell ref="D9:F9"/>
    <mergeCell ref="G9:J9"/>
    <mergeCell ref="L9:N9"/>
    <mergeCell ref="A10:C10"/>
    <mergeCell ref="D10:F10"/>
    <mergeCell ref="G10:J10"/>
    <mergeCell ref="L10:N10"/>
    <mergeCell ref="A11:B11"/>
    <mergeCell ref="E11:F11"/>
    <mergeCell ref="I11:J11"/>
    <mergeCell ref="K11:L11"/>
    <mergeCell ref="M11:N11"/>
    <mergeCell ref="A12:B12"/>
    <mergeCell ref="E12:F12"/>
    <mergeCell ref="I12:J12"/>
    <mergeCell ref="K12:L12"/>
    <mergeCell ref="M12:N12"/>
    <mergeCell ref="A13:N13"/>
    <mergeCell ref="A14:N14"/>
    <mergeCell ref="A15:N15"/>
    <mergeCell ref="A16:N16"/>
    <mergeCell ref="C17:D17"/>
    <mergeCell ref="M17:N17"/>
    <mergeCell ref="Q17:R17"/>
    <mergeCell ref="I45:J45"/>
    <mergeCell ref="L45:N45"/>
    <mergeCell ref="A46:B46"/>
    <mergeCell ref="D46:F46"/>
    <mergeCell ref="A47:B47"/>
    <mergeCell ref="C47:G47"/>
    <mergeCell ref="H47:J4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G18:G20"/>
    <mergeCell ref="G21:G23"/>
    <mergeCell ref="G24:G26"/>
    <mergeCell ref="G27:G29"/>
    <mergeCell ref="G30:G32"/>
    <mergeCell ref="G33:G35"/>
    <mergeCell ref="G36:G38"/>
    <mergeCell ref="G39:G41"/>
    <mergeCell ref="G42:G44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I18:I20"/>
    <mergeCell ref="I21:I23"/>
    <mergeCell ref="I24:I26"/>
    <mergeCell ref="I27:I29"/>
    <mergeCell ref="I30:I32"/>
    <mergeCell ref="I33:I35"/>
    <mergeCell ref="I36:I38"/>
    <mergeCell ref="I39:I41"/>
    <mergeCell ref="I42:I44"/>
    <mergeCell ref="J18:J20"/>
    <mergeCell ref="J21:J23"/>
    <mergeCell ref="J24:J26"/>
    <mergeCell ref="J27:J29"/>
    <mergeCell ref="J30:J32"/>
    <mergeCell ref="J33:J35"/>
    <mergeCell ref="J36:J38"/>
    <mergeCell ref="J39:J41"/>
    <mergeCell ref="J42:J44"/>
    <mergeCell ref="K18:K20"/>
    <mergeCell ref="K21:K23"/>
    <mergeCell ref="K24:K26"/>
    <mergeCell ref="K27:K29"/>
    <mergeCell ref="K30:K32"/>
    <mergeCell ref="K33:K35"/>
    <mergeCell ref="K36:K38"/>
    <mergeCell ref="K39:K41"/>
    <mergeCell ref="K42:K44"/>
    <mergeCell ref="L18:L20"/>
    <mergeCell ref="L21:L23"/>
    <mergeCell ref="L24:L26"/>
    <mergeCell ref="L27:L29"/>
    <mergeCell ref="L30:L32"/>
    <mergeCell ref="L33:L35"/>
    <mergeCell ref="L36:L38"/>
    <mergeCell ref="L39:L41"/>
    <mergeCell ref="L42:L44"/>
    <mergeCell ref="K46:N47"/>
    <mergeCell ref="M18:N20"/>
    <mergeCell ref="M21:N23"/>
    <mergeCell ref="M24:N26"/>
    <mergeCell ref="M27:N29"/>
    <mergeCell ref="M30:N32"/>
    <mergeCell ref="M33:N35"/>
    <mergeCell ref="M36:N38"/>
    <mergeCell ref="M39:N41"/>
    <mergeCell ref="M42:N44"/>
  </mergeCells>
  <pageMargins left="0.71" right="0.71" top="0.75" bottom="0.75" header="0.31" footer="0.31"/>
  <pageSetup paperSize="9" scale="79" fitToHeight="4" orientation="landscape" horizontalDpi="600" vertic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H45"/>
  <sheetViews>
    <sheetView showZeros="0" zoomScaleSheetLayoutView="60" workbookViewId="0">
      <selection activeCell="B1" sqref="B1:G1"/>
    </sheetView>
  </sheetViews>
  <sheetFormatPr defaultColWidth="9.14166666666667" defaultRowHeight="15" outlineLevelCol="7"/>
  <cols>
    <col min="1" max="1" width="2.375" style="5" customWidth="1"/>
    <col min="2" max="2" width="14.75" style="5" customWidth="1"/>
    <col min="3" max="3" width="13.125" style="5" customWidth="1"/>
    <col min="4" max="4" width="13.25" style="5" customWidth="1"/>
    <col min="5" max="5" width="8.25" style="5" customWidth="1"/>
    <col min="6" max="6" width="13.6916666666667" style="5" customWidth="1"/>
    <col min="7" max="7" width="13.5" style="5" customWidth="1"/>
    <col min="8" max="32" width="9" style="5"/>
    <col min="33" max="16384" width="9.14166666666667" style="5"/>
  </cols>
  <sheetData>
    <row r="1" ht="27.5" spans="2:8">
      <c r="B1" s="6" t="str">
        <f>商检明细!B13</f>
        <v>{companyTitle}</v>
      </c>
      <c r="C1" s="6"/>
      <c r="D1" s="6"/>
      <c r="E1" s="6"/>
      <c r="F1" s="6"/>
      <c r="G1" s="6"/>
    </row>
    <row r="2" ht="27.5" spans="2:8">
      <c r="B2" s="7" t="e">
        <f>VLOOKUP(B1,资料!A3:D8,2,0)</f>
        <v>#N/A</v>
      </c>
      <c r="C2" s="7"/>
      <c r="D2" s="7"/>
      <c r="E2" s="7"/>
      <c r="F2" s="7"/>
      <c r="G2" s="7"/>
    </row>
    <row r="3" ht="17.5" spans="2:8">
      <c r="B3" s="8" t="s">
        <v>215</v>
      </c>
      <c r="C3" s="8"/>
      <c r="D3" s="8"/>
      <c r="E3" s="8"/>
      <c r="F3" s="8"/>
    </row>
    <row r="4" spans="2:8">
      <c r="B4" s="9"/>
      <c r="C4" s="9"/>
      <c r="D4" s="10"/>
      <c r="E4" s="10"/>
      <c r="F4" s="10"/>
    </row>
    <row r="5" spans="2:8">
      <c r="B5" s="9" t="s">
        <v>216</v>
      </c>
      <c r="C5" s="9" t="str">
        <f>商检明细!B5</f>
        <v>{saleContractCode}</v>
      </c>
      <c r="E5" s="11" t="s">
        <v>217</v>
      </c>
      <c r="F5" s="12" t="str">
        <f>LEFT(商检明细!F3,10)</f>
        <v>{inputDate</v>
      </c>
      <c r="G5" s="12"/>
    </row>
    <row r="6" spans="2:8">
      <c r="C6" s="11"/>
      <c r="D6" s="9" t="s">
        <v>218</v>
      </c>
      <c r="E6" s="10"/>
      <c r="F6" s="10"/>
    </row>
    <row r="7" spans="2:8">
      <c r="B7" s="13" t="s">
        <v>219</v>
      </c>
      <c r="C7" s="10" t="str">
        <f>商检明细!H5</f>
        <v>{custName}</v>
      </c>
      <c r="D7" s="10"/>
      <c r="E7" s="10"/>
      <c r="F7" s="10"/>
    </row>
    <row r="8" spans="2:8">
      <c r="B8" s="14"/>
      <c r="C8" s="14"/>
      <c r="D8" s="14"/>
      <c r="E8" s="10"/>
      <c r="F8" s="10"/>
    </row>
    <row r="9" spans="2:8">
      <c r="B9" s="9" t="s">
        <v>220</v>
      </c>
      <c r="C9" s="9"/>
      <c r="D9" s="9"/>
      <c r="E9" s="9"/>
      <c r="F9" s="9"/>
      <c r="G9" s="9"/>
    </row>
    <row r="10" ht="21.75" customHeight="1" spans="2:8">
      <c r="B10" s="15" t="s">
        <v>221</v>
      </c>
      <c r="C10" s="15"/>
      <c r="D10" s="9"/>
      <c r="E10" s="10"/>
      <c r="F10" s="10"/>
    </row>
    <row r="11" ht="26.25" customHeight="1" spans="2:8">
      <c r="B11" s="16" t="s">
        <v>222</v>
      </c>
      <c r="C11" s="17"/>
      <c r="D11" s="18" t="s">
        <v>223</v>
      </c>
      <c r="E11" s="19"/>
      <c r="F11" s="20" t="s">
        <v>224</v>
      </c>
      <c r="G11" s="20" t="s">
        <v>225</v>
      </c>
      <c r="H11" s="10"/>
    </row>
    <row r="12" spans="2:8">
      <c r="B12" s="21"/>
      <c r="C12" s="22"/>
      <c r="D12" s="23"/>
      <c r="E12" s="24"/>
      <c r="F12" s="25" t="s">
        <v>226</v>
      </c>
      <c r="G12" s="26"/>
      <c r="H12" s="10"/>
    </row>
    <row r="13" spans="2:8">
      <c r="B13" s="21" t="str">
        <f>商检明细!C17</f>
        <v>{.customsDeclarationNameEng}</v>
      </c>
      <c r="C13" s="22"/>
      <c r="D13" s="27" t="str">
        <f>商检明细!E17</f>
        <v>{.declarationQuantity}</v>
      </c>
      <c r="E13" s="28" t="str">
        <f>IF(D13=0,"","PCS")</f>
        <v>PCS</v>
      </c>
      <c r="F13" s="29" t="str">
        <f>商检明细!F17</f>
        <v>{.saleUnitPriceAmount}</v>
      </c>
      <c r="G13" s="30" t="str">
        <f>商检明细!G17</f>
        <v>{.saleAmountAmount}</v>
      </c>
      <c r="H13" s="10"/>
    </row>
    <row r="14" spans="2:8">
      <c r="B14" s="21">
        <f>商检明细!C18</f>
        <v>0</v>
      </c>
      <c r="C14" s="22"/>
      <c r="D14" s="27">
        <f>商检明细!E18</f>
        <v>0</v>
      </c>
      <c r="E14" s="28" t="str">
        <f t="shared" ref="E14:E25" si="0">IF(D14=0,"","PCS")</f>
        <v/>
      </c>
      <c r="F14" s="29">
        <f>商检明细!F18</f>
        <v>0</v>
      </c>
      <c r="G14" s="30">
        <f>商检明细!G18</f>
        <v>0</v>
      </c>
      <c r="H14" s="10"/>
    </row>
    <row r="15" spans="2:8">
      <c r="B15" s="21">
        <f>商检明细!C19</f>
        <v>0</v>
      </c>
      <c r="C15" s="22"/>
      <c r="D15" s="27">
        <f>商检明细!E19</f>
        <v>0</v>
      </c>
      <c r="E15" s="28" t="str">
        <f t="shared" si="0"/>
        <v/>
      </c>
      <c r="F15" s="29">
        <f>商检明细!F19</f>
        <v>0</v>
      </c>
      <c r="G15" s="30">
        <f>商检明细!G19</f>
        <v>0</v>
      </c>
      <c r="H15" s="10"/>
    </row>
    <row r="16" spans="2:8">
      <c r="B16" s="21">
        <f>商检明细!C20</f>
        <v>0</v>
      </c>
      <c r="C16" s="22"/>
      <c r="D16" s="27">
        <f>商检明细!E20</f>
        <v>0</v>
      </c>
      <c r="E16" s="28" t="str">
        <f t="shared" si="0"/>
        <v/>
      </c>
      <c r="F16" s="29">
        <f>商检明细!F20</f>
        <v>0</v>
      </c>
      <c r="G16" s="30">
        <f>商检明细!G20</f>
        <v>0</v>
      </c>
      <c r="H16" s="10"/>
    </row>
    <row r="17" spans="2:8">
      <c r="B17" s="21">
        <f>商检明细!C21</f>
        <v>0</v>
      </c>
      <c r="C17" s="22"/>
      <c r="D17" s="27">
        <f>商检明细!E21</f>
        <v>0</v>
      </c>
      <c r="E17" s="28" t="str">
        <f t="shared" si="0"/>
        <v/>
      </c>
      <c r="F17" s="29">
        <f>商检明细!F21</f>
        <v>0</v>
      </c>
      <c r="G17" s="30">
        <f>商检明细!G21</f>
        <v>0</v>
      </c>
      <c r="H17" s="10"/>
    </row>
    <row r="18" spans="2:8">
      <c r="B18" s="21">
        <f>商检明细!C22</f>
        <v>0</v>
      </c>
      <c r="C18" s="22"/>
      <c r="D18" s="27">
        <f>商检明细!E22</f>
        <v>0</v>
      </c>
      <c r="E18" s="28" t="str">
        <f t="shared" si="0"/>
        <v/>
      </c>
      <c r="F18" s="29">
        <f>商检明细!F22</f>
        <v>0</v>
      </c>
      <c r="G18" s="30">
        <f>商检明细!G22</f>
        <v>0</v>
      </c>
      <c r="H18" s="10"/>
    </row>
    <row r="19" spans="2:8">
      <c r="B19" s="21">
        <f>商检明细!C23</f>
        <v>0</v>
      </c>
      <c r="C19" s="22"/>
      <c r="D19" s="27">
        <f>商检明细!E23</f>
        <v>0</v>
      </c>
      <c r="E19" s="28" t="str">
        <f t="shared" si="0"/>
        <v/>
      </c>
      <c r="F19" s="29">
        <f>商检明细!F23</f>
        <v>0</v>
      </c>
      <c r="G19" s="30">
        <f>商检明细!G23</f>
        <v>0</v>
      </c>
      <c r="H19" s="10"/>
    </row>
    <row r="20" spans="2:8">
      <c r="B20" s="21">
        <f>商检明细!C24</f>
        <v>0</v>
      </c>
      <c r="C20" s="22"/>
      <c r="D20" s="27">
        <f>商检明细!E24</f>
        <v>0</v>
      </c>
      <c r="E20" s="28" t="str">
        <f t="shared" si="0"/>
        <v/>
      </c>
      <c r="F20" s="29">
        <f>商检明细!F24</f>
        <v>0</v>
      </c>
      <c r="G20" s="30">
        <f>商检明细!G24</f>
        <v>0</v>
      </c>
      <c r="H20" s="10"/>
    </row>
    <row r="21" spans="2:8">
      <c r="B21" s="21">
        <f>商检明细!C25</f>
        <v>0</v>
      </c>
      <c r="C21" s="22"/>
      <c r="D21" s="27">
        <f>商检明细!E25</f>
        <v>0</v>
      </c>
      <c r="E21" s="28" t="str">
        <f t="shared" si="0"/>
        <v/>
      </c>
      <c r="F21" s="29">
        <f>商检明细!F25</f>
        <v>0</v>
      </c>
      <c r="G21" s="30">
        <f>商检明细!G25</f>
        <v>0</v>
      </c>
      <c r="H21" s="10"/>
    </row>
    <row r="22" spans="2:8">
      <c r="B22" s="21">
        <f>商检明细!C26</f>
        <v>0</v>
      </c>
      <c r="C22" s="22"/>
      <c r="D22" s="27">
        <f>商检明细!E26</f>
        <v>0</v>
      </c>
      <c r="E22" s="28" t="str">
        <f t="shared" si="0"/>
        <v/>
      </c>
      <c r="F22" s="29">
        <f>商检明细!F26</f>
        <v>0</v>
      </c>
      <c r="G22" s="30">
        <f>商检明细!G26</f>
        <v>0</v>
      </c>
      <c r="H22" s="10"/>
    </row>
    <row r="23" spans="2:8">
      <c r="B23" s="21">
        <f>商检明细!C27</f>
        <v>0</v>
      </c>
      <c r="C23" s="22"/>
      <c r="D23" s="27">
        <f>商检明细!E27</f>
        <v>0</v>
      </c>
      <c r="E23" s="28" t="str">
        <f t="shared" si="0"/>
        <v/>
      </c>
      <c r="F23" s="29">
        <f>商检明细!F27</f>
        <v>0</v>
      </c>
      <c r="G23" s="30">
        <f>商检明细!G27</f>
        <v>0</v>
      </c>
      <c r="H23" s="10"/>
    </row>
    <row r="24" spans="2:8">
      <c r="B24" s="21">
        <f>商检明细!C28</f>
        <v>0</v>
      </c>
      <c r="C24" s="22"/>
      <c r="D24" s="27">
        <f>商检明细!E28</f>
        <v>0</v>
      </c>
      <c r="E24" s="28" t="str">
        <f t="shared" si="0"/>
        <v/>
      </c>
      <c r="F24" s="29">
        <f>商检明细!F28</f>
        <v>0</v>
      </c>
      <c r="G24" s="30">
        <f>商检明细!G28</f>
        <v>0</v>
      </c>
      <c r="H24" s="10"/>
    </row>
    <row r="25" ht="15.75" spans="2:8">
      <c r="B25" s="31">
        <f>商检明细!C29</f>
        <v>0</v>
      </c>
      <c r="C25" s="32"/>
      <c r="D25" s="33"/>
      <c r="E25" s="34" t="str">
        <f t="shared" si="0"/>
        <v/>
      </c>
      <c r="F25" s="15" t="s">
        <v>144</v>
      </c>
      <c r="G25" s="35">
        <f>SUM(G13:G24)</f>
        <v>0</v>
      </c>
      <c r="H25" s="10"/>
    </row>
    <row r="26" spans="2:8">
      <c r="B26" s="36"/>
      <c r="C26" s="36"/>
      <c r="D26" s="10"/>
      <c r="E26" s="10"/>
      <c r="F26" s="10"/>
    </row>
    <row r="27" ht="26.25" customHeight="1" spans="2:8">
      <c r="B27" s="37" t="s">
        <v>227</v>
      </c>
      <c r="C27" s="37"/>
      <c r="D27" s="37"/>
      <c r="E27" s="37"/>
      <c r="F27" s="37"/>
      <c r="G27" s="37"/>
    </row>
    <row r="28" spans="2:8">
      <c r="B28" s="9" t="s">
        <v>228</v>
      </c>
      <c r="C28" s="9"/>
      <c r="D28" s="38" t="str">
        <f>LEFT(商检明细!H4,10)</f>
        <v>{shipDate}</v>
      </c>
      <c r="E28" s="10"/>
      <c r="F28" s="10"/>
    </row>
    <row r="29" spans="2:8">
      <c r="B29" s="39" t="str">
        <f>"3.FROM  "&amp;商检明细!D8&amp;"  TO  "&amp;商检明细!F8&amp;"  "&amp;商检明细!B8</f>
        <v>3.FROM  {departurePortName}  TO  {destinationPortName}  {transportType}</v>
      </c>
      <c r="C29" s="39"/>
      <c r="D29" s="39"/>
      <c r="E29" s="39"/>
      <c r="F29" s="39"/>
    </row>
    <row r="30" spans="2:8">
      <c r="B30" s="9" t="s">
        <v>229</v>
      </c>
      <c r="C30" s="9"/>
      <c r="D30" s="10"/>
      <c r="E30" s="10"/>
      <c r="F30" s="10"/>
    </row>
    <row r="31" spans="2:8">
      <c r="B31" s="9" t="s">
        <v>230</v>
      </c>
      <c r="C31" s="9"/>
      <c r="D31" s="10"/>
      <c r="E31" s="10"/>
      <c r="F31" s="10"/>
    </row>
    <row r="32" spans="2:8">
      <c r="B32" s="9" t="s">
        <v>231</v>
      </c>
      <c r="C32" s="9"/>
      <c r="D32" s="10"/>
      <c r="E32" s="10"/>
      <c r="F32" s="10"/>
    </row>
    <row r="33" spans="2:6">
      <c r="B33" s="9" t="s">
        <v>232</v>
      </c>
      <c r="C33" s="9"/>
      <c r="D33" s="10"/>
      <c r="E33" s="10"/>
      <c r="F33" s="10"/>
    </row>
    <row r="34" spans="2:6">
      <c r="B34" s="9" t="s">
        <v>233</v>
      </c>
      <c r="C34" s="9"/>
      <c r="D34" s="10"/>
    </row>
    <row r="35" spans="2:6">
      <c r="B35" s="9" t="s">
        <v>234</v>
      </c>
      <c r="C35" s="9"/>
      <c r="D35" s="10"/>
    </row>
    <row r="36" ht="27" spans="2:6">
      <c r="B36" s="37" t="s">
        <v>235</v>
      </c>
      <c r="C36" s="37"/>
      <c r="D36" s="10"/>
    </row>
    <row r="37" spans="2:6">
      <c r="B37" s="9"/>
      <c r="C37" s="9"/>
      <c r="D37" s="10"/>
    </row>
    <row r="38" spans="2:6">
      <c r="B38" s="9"/>
      <c r="C38" s="9"/>
      <c r="D38" s="10"/>
    </row>
    <row r="39" spans="2:6">
      <c r="B39" s="9" t="s">
        <v>236</v>
      </c>
      <c r="C39" s="9"/>
      <c r="D39" s="10"/>
    </row>
    <row r="40" spans="2:6">
      <c r="B40" s="9"/>
      <c r="C40" s="9"/>
      <c r="D40" s="10"/>
    </row>
    <row r="41" spans="2:6">
      <c r="B41" s="9"/>
      <c r="C41" s="9"/>
      <c r="D41" s="10"/>
    </row>
    <row r="42" spans="2:6">
      <c r="B42" s="9"/>
      <c r="C42" s="9"/>
      <c r="D42" s="10"/>
    </row>
    <row r="43" spans="2:6">
      <c r="B43" s="9" t="s">
        <v>237</v>
      </c>
      <c r="C43" s="9"/>
      <c r="E43" s="9" t="s">
        <v>238</v>
      </c>
    </row>
    <row r="44" spans="2:6">
      <c r="B44" s="9" t="s">
        <v>239</v>
      </c>
      <c r="C44" s="9"/>
      <c r="E44" s="9" t="s">
        <v>240</v>
      </c>
    </row>
    <row r="45" spans="2:6">
      <c r="B45" s="10"/>
      <c r="C45" s="10"/>
      <c r="D45" s="10"/>
    </row>
  </sheetData>
  <mergeCells count="24">
    <mergeCell ref="B1:G1"/>
    <mergeCell ref="B2:G2"/>
    <mergeCell ref="B3:F3"/>
    <mergeCell ref="F5:G5"/>
    <mergeCell ref="C7:E7"/>
    <mergeCell ref="B9:G9"/>
    <mergeCell ref="B10:C10"/>
    <mergeCell ref="D11:E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7:G27"/>
    <mergeCell ref="B29:F29"/>
  </mergeCells>
  <pageMargins left="0.71" right="0.71" top="0.75" bottom="0.75" header="0.31" footer="0.31"/>
  <pageSetup paperSize="9" orientation="portrait" horizontalDpi="600" vertic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40"/>
  <sheetViews>
    <sheetView zoomScaleSheetLayoutView="60" workbookViewId="0">
      <selection activeCell="A1" sqref="A1"/>
    </sheetView>
  </sheetViews>
  <sheetFormatPr defaultColWidth="9.125" defaultRowHeight="15"/>
  <cols>
    <col min="1" max="1" width="22.875" style="1" customWidth="1"/>
    <col min="2" max="2" width="27.75" style="1" customWidth="1"/>
    <col min="3" max="3" width="24.875" style="1" customWidth="1"/>
    <col min="4" max="4" width="46.625" style="1"/>
    <col min="5" max="5" width="56" style="1"/>
    <col min="6" max="7" width="22.75" style="1" customWidth="1"/>
    <col min="8" max="8" width="9.125" style="1"/>
    <col min="9" max="9" width="15" style="1"/>
    <col min="10" max="16384" width="9.125" style="1"/>
  </cols>
  <sheetData>
    <row r="2" s="1" customFormat="1" spans="1:9">
      <c r="A2" s="2" t="s">
        <v>241</v>
      </c>
      <c r="B2" s="2" t="s">
        <v>242</v>
      </c>
      <c r="C2" s="2" t="s">
        <v>243</v>
      </c>
      <c r="D2" s="2" t="s">
        <v>244</v>
      </c>
      <c r="E2" s="2" t="s">
        <v>245</v>
      </c>
      <c r="F2" s="2" t="s">
        <v>246</v>
      </c>
      <c r="G2" s="2" t="s">
        <v>247</v>
      </c>
      <c r="H2" s="1" t="s">
        <v>248</v>
      </c>
      <c r="I2" s="1" t="s">
        <v>249</v>
      </c>
    </row>
    <row r="3" s="1" customFormat="1" ht="91" spans="1:9">
      <c r="A3" s="2" t="s">
        <v>250</v>
      </c>
      <c r="B3" s="2" t="s">
        <v>251</v>
      </c>
      <c r="C3" s="2" t="s">
        <v>252</v>
      </c>
      <c r="D3" s="2" t="s">
        <v>253</v>
      </c>
      <c r="E3" s="3" t="s">
        <v>254</v>
      </c>
      <c r="F3" s="1">
        <v>3302941306</v>
      </c>
      <c r="G3" s="1" t="s">
        <v>255</v>
      </c>
      <c r="H3" s="1" t="s">
        <v>210</v>
      </c>
      <c r="I3" s="1" t="s">
        <v>256</v>
      </c>
    </row>
    <row r="4" s="1" customFormat="1" spans="1:9">
      <c r="A4" s="2"/>
      <c r="B4" s="2"/>
      <c r="C4" s="2"/>
      <c r="D4" s="2"/>
      <c r="E4" s="2"/>
      <c r="H4" s="1" t="s">
        <v>257</v>
      </c>
      <c r="I4" s="1" t="s">
        <v>258</v>
      </c>
    </row>
    <row r="5" s="1" customFormat="1" spans="1:9">
      <c r="A5" s="2"/>
      <c r="B5" s="2"/>
      <c r="C5" s="2"/>
      <c r="D5" s="2"/>
      <c r="E5" s="2"/>
      <c r="F5" s="2"/>
      <c r="G5" s="2"/>
      <c r="H5" s="1" t="s">
        <v>259</v>
      </c>
      <c r="I5" s="1" t="s">
        <v>260</v>
      </c>
    </row>
    <row r="6" s="1" customFormat="1" spans="1:9">
      <c r="A6" s="2"/>
      <c r="B6" s="2"/>
      <c r="C6" s="2"/>
      <c r="D6" s="2"/>
      <c r="E6" s="2"/>
      <c r="F6" s="2"/>
      <c r="G6" s="2"/>
    </row>
    <row r="7" s="1" customFormat="1" spans="1:9">
      <c r="A7" s="2"/>
      <c r="B7" s="2"/>
      <c r="C7" s="2"/>
      <c r="D7" s="2"/>
      <c r="E7" s="2"/>
      <c r="F7" s="2"/>
      <c r="G7" s="2"/>
      <c r="H7" s="1" t="s">
        <v>248</v>
      </c>
      <c r="I7" s="1" t="s">
        <v>261</v>
      </c>
    </row>
    <row r="8" s="1" customFormat="1" spans="1:9">
      <c r="A8" s="2"/>
      <c r="B8" s="2"/>
      <c r="C8" s="2"/>
      <c r="D8" s="2"/>
      <c r="H8" s="1" t="s">
        <v>210</v>
      </c>
      <c r="I8" s="1" t="s">
        <v>262</v>
      </c>
    </row>
    <row r="9" s="1" customFormat="1" spans="1:9">
      <c r="H9" s="1" t="s">
        <v>257</v>
      </c>
      <c r="I9" s="4" t="s">
        <v>263</v>
      </c>
    </row>
    <row r="10" s="1" customFormat="1" spans="1:9">
      <c r="H10" s="1" t="s">
        <v>259</v>
      </c>
      <c r="I10" s="1" t="s">
        <v>260</v>
      </c>
    </row>
    <row r="12" s="1" customFormat="1" spans="1:9">
      <c r="H12" s="1" t="s">
        <v>248</v>
      </c>
      <c r="I12" s="1" t="s">
        <v>264</v>
      </c>
    </row>
    <row r="13" s="1" customFormat="1" spans="1:9">
      <c r="H13" s="1" t="s">
        <v>210</v>
      </c>
      <c r="I13" s="1" t="s">
        <v>265</v>
      </c>
    </row>
    <row r="14" s="1" customFormat="1" spans="1:9">
      <c r="H14" s="1" t="s">
        <v>257</v>
      </c>
      <c r="I14" s="4" t="s">
        <v>266</v>
      </c>
    </row>
    <row r="15" s="1" customFormat="1" spans="1:9">
      <c r="H15" s="1" t="s">
        <v>259</v>
      </c>
      <c r="I15" s="1" t="s">
        <v>260</v>
      </c>
    </row>
    <row r="34" s="1" customFormat="1" spans="1:2">
      <c r="A34" s="1" t="s">
        <v>267</v>
      </c>
      <c r="B34" s="1" t="s">
        <v>268</v>
      </c>
    </row>
    <row r="35" s="1" customFormat="1" spans="1:2">
      <c r="A35" s="1" t="s">
        <v>269</v>
      </c>
      <c r="B35" s="1" t="s">
        <v>270</v>
      </c>
    </row>
    <row r="36" s="1" customFormat="1" spans="1:2">
      <c r="A36" s="1" t="s">
        <v>271</v>
      </c>
      <c r="B36" s="1" t="s">
        <v>272</v>
      </c>
    </row>
    <row r="37" s="1" customFormat="1" spans="1:2">
      <c r="A37" s="1" t="s">
        <v>273</v>
      </c>
      <c r="B37" s="1" t="s">
        <v>274</v>
      </c>
    </row>
    <row r="38" s="1" customFormat="1" spans="1:2">
      <c r="A38" s="1" t="s">
        <v>275</v>
      </c>
      <c r="B38" s="1" t="s">
        <v>276</v>
      </c>
    </row>
    <row r="39" s="1" customFormat="1" spans="1:2">
      <c r="A39" s="1" t="s">
        <v>277</v>
      </c>
      <c r="B39" s="1" t="s">
        <v>268</v>
      </c>
    </row>
    <row r="40" s="1" customFormat="1" spans="1:2">
      <c r="A40" s="1" t="s">
        <v>278</v>
      </c>
      <c r="B40" s="1" t="s">
        <v>279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NB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商检明细</vt:lpstr>
      <vt:lpstr>报关发票</vt:lpstr>
      <vt:lpstr>报关箱单</vt:lpstr>
      <vt:lpstr>报关单</vt:lpstr>
      <vt:lpstr>报关合同</vt:lpstr>
      <vt:lpstr>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叶群飞</dc:creator>
  <dc:description>Intersky Smarterp OfficeReport Template File
畅想外贸业务管理系统(泛太)
出运明细
托单</dc:description>
  <cp:lastModifiedBy>-</cp:lastModifiedBy>
  <dcterms:created xsi:type="dcterms:W3CDTF">2013-07-12T21:19:00Z</dcterms:created>
  <cp:lastPrinted>2022-05-16T00:20:00Z</cp:lastPrinted>
  <dcterms:modified xsi:type="dcterms:W3CDTF">2025-11-28T05:08:31Z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84442102B8994A15B4CCB74C0C507D93_13</vt:lpwstr>
  </property>
</Properties>
</file>