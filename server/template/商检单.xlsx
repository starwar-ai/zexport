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 activeTab="4"/>
  </bookViews>
  <sheets>
    <sheet name="商检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definedNames>
    <definedName name="_xlnm.Print_Area" localSheetId="0">商检明细!$A$1:$Y$17</definedName>
  </definedNames>
  <calcPr calcId="144525"/>
</workbook>
</file>

<file path=xl/sharedStrings.xml><?xml version="1.0" encoding="utf-8"?>
<sst xmlns="http://schemas.openxmlformats.org/spreadsheetml/2006/main" count="313" uniqueCount="265">
  <si>
    <t>商检单</t>
  </si>
  <si>
    <t>基本信息</t>
  </si>
  <si>
    <t>发票号</t>
  </si>
  <si>
    <t>{invoiceCode}</t>
  </si>
  <si>
    <t>单据编号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</si>
  <si>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</si>
  <si>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</si>
  <si>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</si>
  <si>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</si>
  <si>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</si>
  <si>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</si>
  <si>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</si>
  <si>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</si>
  <si>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</si>
  <si>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</si>
  <si>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</si>
  <si>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</si>
  <si>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</si>
  <si>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</si>
  <si>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</si>
  <si>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</si>
  <si>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</si>
  <si>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</si>
  <si>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</si>
  <si>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</si>
  <si>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</si>
  <si>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</si>
  <si>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</si>
  <si>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</si>
  <si>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</si>
  <si>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</si>
  <si>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</si>
  <si>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</si>
  <si>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</si>
  <si>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</si>
  <si>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</si>
  <si>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</si>
  <si>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</si>
  <si>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</si>
  <si>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</si>
  <si>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</si>
  <si>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</si>
  <si>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</si>
  <si>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</si>
  <si>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</si>
  <si>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出运单号</t>
  </si>
  <si>
    <t>{shipmentCode}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</si>
  <si>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</si>
  <si>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</si>
  <si>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</si>
  <si>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</si>
  <si>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</si>
  <si>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</si>
  <si>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</si>
  <si>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</si>
  <si>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</si>
  <si>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</si>
  <si>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</si>
  <si>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</si>
  <si>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</si>
  <si>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</si>
  <si>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</si>
  <si>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</si>
  <si>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</si>
  <si>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</si>
  <si>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</si>
  <si>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</si>
  <si>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</si>
  <si>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</si>
  <si>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</si>
  <si>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中文品名</t>
  </si>
  <si>
    <t>英文品名</t>
  </si>
  <si>
    <t>申报要素</t>
  </si>
  <si>
    <t>数量</t>
  </si>
  <si>
    <t>销售单价</t>
  </si>
  <si>
    <t>金额</t>
  </si>
  <si>
    <t>报关单位</t>
  </si>
  <si>
    <t>采购币种</t>
  </si>
  <si>
    <t>采购单价</t>
  </si>
  <si>
    <t>采购总价</t>
  </si>
  <si>
    <t>HS编码</t>
  </si>
  <si>
    <t>退税率%</t>
  </si>
  <si>
    <t>退税金额</t>
  </si>
  <si>
    <t>采购员编号</t>
  </si>
  <si>
    <t>采购员名称</t>
  </si>
  <si>
    <t>厂商简称</t>
  </si>
  <si>
    <t>箱数</t>
  </si>
  <si>
    <t>外箱单位</t>
  </si>
  <si>
    <t>外箱体积</t>
  </si>
  <si>
    <t>总体积</t>
  </si>
  <si>
    <t>外箱毛重</t>
  </si>
  <si>
    <t>总毛重</t>
  </si>
  <si>
    <t>外箱净重</t>
  </si>
  <si>
    <t>总净重</t>
  </si>
  <si>
    <t>{.id}</t>
  </si>
  <si>
    <t>{.declarationName}</t>
  </si>
  <si>
    <t>{.customsDeclarationNameEng}</t>
  </si>
  <si>
    <t>{.customsDeclareElements}</t>
  </si>
  <si>
    <t>{.declarationQuantity}</t>
  </si>
  <si>
    <t>{.saleUnitPriceAmount}</t>
  </si>
  <si>
    <t>{.saleAmountAmount}</t>
  </si>
  <si>
    <t>{.hsMeasureUnitName}</t>
  </si>
  <si>
    <t>{.purchaseCurrency}</t>
  </si>
  <si>
    <t>{.purchaseUnitPriceAmount}</t>
  </si>
  <si>
    <t>{.purchaseTotalAmountAmount}</t>
  </si>
  <si>
    <t>{.hscode}</t>
  </si>
  <si>
    <t>{.taxRefundRate}</t>
  </si>
  <si>
    <t>{.taxRefundPriceAmount}</t>
  </si>
  <si>
    <t>{.purchaseUserCode}</t>
  </si>
  <si>
    <t>{.purchaseUserName}</t>
  </si>
  <si>
    <t>{.venderName}</t>
  </si>
  <si>
    <t>{.boxCount}</t>
  </si>
  <si>
    <t>{.unitPerOuterbox}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</si>
  <si>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</si>
  <si>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</si>
  <si>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</si>
  <si>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</si>
  <si>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</si>
  <si>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</si>
  <si>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</si>
  <si>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</si>
  <si>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</si>
  <si>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</si>
  <si>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</si>
  <si>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</si>
  <si>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134"/>
      </rPr>
      <t>日</t>
    </r>
    <r>
      <rPr>
        <sz val="10"/>
        <rFont val="Times New Roman"/>
        <charset val="1"/>
      </rPr>
      <t xml:space="preserve">    </t>
    </r>
    <r>
      <rPr>
        <sz val="10"/>
        <rFont val="宋体"/>
        <charset val="134"/>
      </rPr>
      <t>期</t>
    </r>
  </si>
  <si>
    <t>CONTRACT NO.</t>
  </si>
  <si>
    <t>DATE:</t>
  </si>
  <si>
    <r>
      <rPr>
        <sz val="10"/>
        <rFont val="宋体"/>
        <charset val="134"/>
      </rPr>
      <t>客</t>
    </r>
    <r>
      <rPr>
        <sz val="10"/>
        <rFont val="Times New Roman"/>
        <charset val="1"/>
      </rPr>
      <t xml:space="preserve">        </t>
    </r>
    <r>
      <rPr>
        <sz val="10"/>
        <rFont val="宋体"/>
        <charset val="134"/>
      </rPr>
      <t>户</t>
    </r>
  </si>
  <si>
    <t>MESSRS</t>
  </si>
  <si>
    <r>
      <rPr>
        <sz val="10"/>
        <rFont val="宋体"/>
        <charset val="134"/>
      </rPr>
      <t>地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134"/>
      </rPr>
      <t>址</t>
    </r>
  </si>
  <si>
    <t>ADDRESS</t>
  </si>
  <si>
    <r>
      <rPr>
        <sz val="10"/>
        <rFont val="宋体"/>
        <charset val="134"/>
      </rPr>
      <t>船</t>
    </r>
    <r>
      <rPr>
        <sz val="10"/>
        <rFont val="Times New Roman"/>
        <charset val="1"/>
      </rPr>
      <t xml:space="preserve">    </t>
    </r>
    <r>
      <rPr>
        <sz val="10"/>
        <rFont val="宋体"/>
        <charset val="134"/>
      </rPr>
      <t>由</t>
    </r>
  </si>
  <si>
    <t>FROM</t>
  </si>
  <si>
    <r>
      <rPr>
        <sz val="10"/>
        <rFont val="宋体"/>
        <charset val="134"/>
      </rPr>
      <t>货</t>
    </r>
    <r>
      <rPr>
        <sz val="10"/>
        <rFont val="Times New Roman"/>
        <charset val="1"/>
      </rPr>
      <t xml:space="preserve">                   </t>
    </r>
    <r>
      <rPr>
        <sz val="10"/>
        <rFont val="宋体"/>
        <charset val="134"/>
      </rPr>
      <t>名</t>
    </r>
  </si>
  <si>
    <r>
      <rPr>
        <sz val="10"/>
        <rFont val="宋体"/>
        <charset val="134"/>
      </rPr>
      <t>件</t>
    </r>
    <r>
      <rPr>
        <sz val="10"/>
        <rFont val="Times New Roman"/>
        <charset val="1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</si>
  <si>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</si>
  <si>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</si>
  <si>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1"/>
      </rPr>
      <t xml:space="preserve">       </t>
    </r>
    <r>
      <rPr>
        <sz val="10"/>
        <rFont val="宋体"/>
        <charset val="134"/>
      </rPr>
      <t>额</t>
    </r>
  </si>
  <si>
    <t>DESCRIPTION</t>
  </si>
  <si>
    <t>PKG</t>
  </si>
  <si>
    <t>QTY</t>
  </si>
  <si>
    <t>UNIT PRICE</t>
  </si>
  <si>
    <t>AMOUNT</t>
  </si>
  <si>
    <t>TOTAL:</t>
  </si>
  <si>
    <t>PACKING LIST</t>
  </si>
  <si>
    <t>BY SEA</t>
  </si>
  <si>
    <r>
      <rPr>
        <sz val="10"/>
        <rFont val="宋体"/>
        <charset val="134"/>
      </rPr>
      <t>毛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134"/>
      </rPr>
      <t>重</t>
    </r>
  </si>
  <si>
    <r>
      <rPr>
        <sz val="10"/>
        <rFont val="宋体"/>
        <charset val="134"/>
      </rPr>
      <t>净</t>
    </r>
    <r>
      <rPr>
        <sz val="10"/>
        <rFont val="Times New Roman"/>
        <charset val="1"/>
      </rPr>
      <t xml:space="preserve">    </t>
    </r>
    <r>
      <rPr>
        <sz val="10"/>
        <rFont val="宋体"/>
        <charset val="134"/>
      </rPr>
      <t>重</t>
    </r>
  </si>
  <si>
    <r>
      <rPr>
        <sz val="10"/>
        <rFont val="宋体"/>
        <charset val="134"/>
      </rPr>
      <t>体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134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</si>
  <si>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</si>
  <si>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</si>
  <si>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</si>
  <si>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</si>
  <si>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</si>
  <si>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</si>
  <si>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</si>
  <si>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</si>
  <si>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</si>
  <si>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</si>
  <si>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</si>
  <si>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</si>
  <si>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</si>
  <si>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</si>
  <si>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</si>
  <si>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</si>
  <si>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</si>
  <si>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</si>
  <si>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</si>
  <si>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</si>
  <si>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</si>
  <si>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</si>
  <si>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</si>
  <si>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</si>
  <si>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</si>
  <si>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</si>
  <si>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</si>
  <si>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</si>
  <si>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</si>
  <si>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</si>
  <si>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</si>
  <si>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</si>
  <si>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</si>
  <si>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</si>
  <si>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</si>
  <si>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</si>
  <si>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</si>
  <si>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</si>
  <si>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</si>
  <si>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随附单证及编号</t>
  </si>
  <si>
    <t>标记唛码及备注</t>
  </si>
  <si>
    <t>项号</t>
  </si>
  <si>
    <t>商品编号</t>
  </si>
  <si>
    <t>商品名称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</si>
  <si>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</si>
  <si>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</si>
  <si>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</si>
  <si>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</si>
  <si>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</si>
  <si>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</si>
  <si>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</si>
  <si>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</si>
  <si>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</si>
  <si>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</si>
  <si>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</si>
  <si>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</si>
  <si>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</si>
  <si>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</si>
  <si>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</si>
  <si>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</si>
  <si>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</si>
  <si>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</si>
  <si>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</si>
  <si>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</si>
  <si>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</si>
  <si>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</si>
  <si>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</si>
  <si>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</si>
  <si>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</si>
  <si>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</si>
  <si>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</si>
  <si>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</si>
  <si>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</si>
  <si>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</si>
  <si>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t>FOB Ningbo</t>
  </si>
  <si>
    <r>
      <rPr>
        <sz val="10.5"/>
        <rFont val="宋体"/>
        <charset val="134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134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</si>
  <si>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</si>
  <si>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</si>
  <si>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</si>
  <si>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</si>
  <si>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</si>
  <si>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</si>
  <si>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</si>
  <si>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</si>
  <si>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</si>
  <si>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</si>
  <si>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</si>
  <si>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</si>
  <si>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</si>
  <si>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</si>
  <si>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</si>
  <si>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</si>
  <si>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</si>
  <si>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</si>
  <si>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</si>
  <si>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</si>
  <si>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</si>
  <si>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</si>
  <si>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</si>
  <si>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</si>
  <si>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ADD:#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</si>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</sst>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  <numFmt numFmtId="177" formatCode="0.00_);[Red]\(0.00\)"/>
    <numFmt numFmtId="178" formatCode="0.000_ "/>
  </numFmts>
  <fonts count="48"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134"/>
    </font>
    <font>
      <sz val="22"/>
      <name val="楷体_GB2312"/>
      <charset val="134"/>
    </font>
    <font>
      <b/>
      <sz val="14"/>
      <name val="宋体"/>
      <charset val="134"/>
    </font>
    <font>
      <sz val="10.5"/>
      <name val="宋体"/>
      <charset val="134"/>
    </font>
    <font>
      <sz val="12"/>
      <name val="楷体_GB2312"/>
      <charset val="134"/>
    </font>
    <font>
      <sz val="9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1"/>
      <name val="微软雅黑"/>
      <charset val="134"/>
    </font>
    <font>
      <sz val="10"/>
      <name val="Verdana"/>
      <charset val="134"/>
    </font>
    <font>
      <sz val="14"/>
      <name val="宋体"/>
      <charset val="134"/>
    </font>
    <font>
      <b/>
      <sz val="12"/>
      <name val="宋体"/>
      <charset val="134"/>
    </font>
    <font>
      <sz val="10"/>
      <name val="微软雅黑"/>
      <charset val="134"/>
    </font>
    <font>
      <b/>
      <sz val="24"/>
      <name val="宋体"/>
      <charset val="134"/>
    </font>
    <font>
      <b/>
      <sz val="16"/>
      <name val="Times New Roman"/>
      <charset val="1"/>
    </font>
    <font>
      <sz val="10"/>
      <name val="Times New Roman"/>
      <charset val="1"/>
    </font>
    <font>
      <sz val="10.5"/>
      <name val="Times New Roman"/>
      <charset val="1"/>
    </font>
    <font>
      <b/>
      <sz val="14"/>
      <name val="Times New Roman"/>
      <charset val="1"/>
    </font>
    <font>
      <b/>
      <sz val="9"/>
      <name val="Times New Roman"/>
      <charset val="1"/>
    </font>
    <font>
      <sz val="8"/>
      <name val="Times New Roman"/>
      <charset val="1"/>
    </font>
    <font>
      <sz val="10"/>
      <name val="Arial"/>
      <charset val="0"/>
    </font>
    <font>
      <sz val="15"/>
      <name val="宋体"/>
      <charset val="134"/>
    </font>
    <font>
      <sz val="12.5"/>
      <name val="宋体"/>
      <charset val="134"/>
    </font>
    <font>
      <sz val="10"/>
      <name val="宋体-简"/>
      <charset val="0"/>
    </font>
    <font>
      <u/>
      <sz val="12"/>
      <color indexed="25"/>
      <name val="宋体"/>
      <charset val="134"/>
    </font>
    <font>
      <sz val="11"/>
      <color indexed="10"/>
      <name val="等线"/>
      <charset val="0"/>
    </font>
    <font>
      <sz val="18"/>
      <color indexed="54"/>
      <name val="等线 Light"/>
      <charset val="0"/>
    </font>
    <font>
      <i/>
      <sz val="11"/>
      <color indexed="23"/>
      <name val="等线"/>
      <charset val="0"/>
    </font>
    <font>
      <b/>
      <sz val="15"/>
      <color indexed="54"/>
      <name val="等线"/>
      <charset val="0"/>
    </font>
    <font>
      <b/>
      <sz val="13"/>
      <color indexed="54"/>
      <name val="等线"/>
      <charset val="0"/>
    </font>
    <font>
      <b/>
      <sz val="11"/>
      <color indexed="54"/>
      <name val="等线"/>
      <charset val="0"/>
    </font>
    <font>
      <sz val="11"/>
      <color indexed="62"/>
      <name val="等线"/>
      <charset val="0"/>
    </font>
    <font>
      <b/>
      <sz val="11"/>
      <color indexed="63"/>
      <name val="等线"/>
      <charset val="0"/>
    </font>
    <font>
      <b/>
      <sz val="11"/>
      <color indexed="53"/>
      <name val="等线"/>
      <charset val="0"/>
    </font>
    <font>
      <b/>
      <sz val="11"/>
      <color indexed="9"/>
      <name val="等线"/>
      <charset val="0"/>
    </font>
    <font>
      <sz val="11"/>
      <color indexed="53"/>
      <name val="等线"/>
      <charset val="0"/>
    </font>
    <font>
      <b/>
      <sz val="11"/>
      <color indexed="8"/>
      <name val="等线"/>
      <charset val="0"/>
    </font>
    <font>
      <sz val="11"/>
      <color indexed="17"/>
      <name val="等线"/>
      <charset val="0"/>
    </font>
    <font>
      <sz val="11"/>
      <color indexed="16"/>
      <name val="等线"/>
      <charset val="0"/>
    </font>
    <font>
      <sz val="11"/>
      <color indexed="60"/>
      <name val="等线"/>
      <charset val="0"/>
    </font>
    <font>
      <sz val="11"/>
      <color indexed="9"/>
      <name val="等线"/>
      <charset val="0"/>
    </font>
    <font>
      <sz val="11"/>
      <color indexed="8"/>
      <name val="等线"/>
      <charset val="0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0" fillId="7" borderId="3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37" applyNumberFormat="0" applyAlignment="0" applyProtection="0">
      <alignment vertical="center"/>
    </xf>
    <xf numFmtId="0" fontId="37" fillId="3" borderId="38" applyNumberFormat="0" applyAlignment="0" applyProtection="0">
      <alignment vertical="center"/>
    </xf>
    <xf numFmtId="0" fontId="38" fillId="3" borderId="37" applyNumberFormat="0" applyAlignment="0" applyProtection="0">
      <alignment vertical="center"/>
    </xf>
    <xf numFmtId="0" fontId="39" fillId="9" borderId="39" applyNumberForma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6" applyAlignment="1" applyProtection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4" fillId="0" borderId="0" xfId="53" applyFont="1" applyAlignment="1">
      <alignment horizontal="center"/>
    </xf>
    <xf numFmtId="0" fontId="5" fillId="0" borderId="0" xfId="53" applyFont="1" applyAlignment="1">
      <alignment horizontal="center"/>
    </xf>
    <xf numFmtId="0" fontId="6" fillId="0" borderId="0" xfId="53" applyFont="1" applyAlignment="1">
      <alignment horizontal="left"/>
    </xf>
    <xf numFmtId="0" fontId="0" fillId="0" borderId="0" xfId="53" applyAlignment="1">
      <alignment horizontal="left"/>
    </xf>
    <xf numFmtId="14" fontId="6" fillId="0" borderId="0" xfId="53" applyNumberFormat="1" applyFont="1" applyAlignment="1">
      <alignment horizontal="left"/>
    </xf>
    <xf numFmtId="0" fontId="7" fillId="0" borderId="0" xfId="53" applyFont="1" applyAlignment="1">
      <alignment vertical="top" wrapText="1"/>
    </xf>
    <xf numFmtId="0" fontId="0" fillId="0" borderId="0" xfId="53" applyAlignment="1">
      <alignment vertical="top" wrapText="1"/>
    </xf>
    <xf numFmtId="0" fontId="0" fillId="0" borderId="0" xfId="0" applyNumberFormat="1" applyAlignment="1"/>
    <xf numFmtId="0" fontId="6" fillId="0" borderId="0" xfId="53" applyNumberFormat="1" applyFont="1" applyAlignment="1">
      <alignment horizontal="left"/>
    </xf>
    <xf numFmtId="0" fontId="6" fillId="0" borderId="1" xfId="53" applyNumberFormat="1" applyFont="1" applyBorder="1" applyAlignment="1">
      <alignment horizontal="left"/>
    </xf>
    <xf numFmtId="0" fontId="6" fillId="0" borderId="2" xfId="53" applyNumberFormat="1" applyFont="1" applyBorder="1" applyAlignment="1">
      <alignment horizontal="left"/>
    </xf>
    <xf numFmtId="0" fontId="6" fillId="0" borderId="3" xfId="53" applyNumberFormat="1" applyFont="1" applyBorder="1" applyAlignment="1">
      <alignment horizontal="left"/>
    </xf>
    <xf numFmtId="0" fontId="6" fillId="0" borderId="4" xfId="53" applyNumberFormat="1" applyFont="1" applyBorder="1" applyAlignment="1">
      <alignment horizontal="center"/>
    </xf>
    <xf numFmtId="0" fontId="6" fillId="0" borderId="5" xfId="53" applyNumberFormat="1" applyFont="1" applyBorder="1" applyAlignment="1">
      <alignment horizontal="center"/>
    </xf>
    <xf numFmtId="0" fontId="6" fillId="0" borderId="6" xfId="53" applyNumberFormat="1" applyFont="1" applyBorder="1" applyAlignment="1">
      <alignment horizontal="center"/>
    </xf>
    <xf numFmtId="0" fontId="6" fillId="0" borderId="4" xfId="53" applyNumberFormat="1" applyFont="1" applyBorder="1" applyAlignment="1">
      <alignment horizontal="left"/>
    </xf>
    <xf numFmtId="0" fontId="1" fillId="0" borderId="0" xfId="0" applyNumberFormat="1" applyFont="1" applyAlignment="1">
      <alignment horizontal="right"/>
    </xf>
    <xf numFmtId="0" fontId="6" fillId="0" borderId="7" xfId="53" applyNumberFormat="1" applyFont="1" applyBorder="1" applyAlignment="1">
      <alignment horizontal="center"/>
    </xf>
    <xf numFmtId="0" fontId="6" fillId="0" borderId="8" xfId="53" applyNumberFormat="1" applyFont="1" applyBorder="1" applyAlignment="1">
      <alignment horizontal="center"/>
    </xf>
    <xf numFmtId="0" fontId="0" fillId="0" borderId="9" xfId="53" applyNumberFormat="1" applyBorder="1" applyAlignment="1">
      <alignment horizontal="left"/>
    </xf>
    <xf numFmtId="0" fontId="0" fillId="0" borderId="0" xfId="53" applyNumberFormat="1" applyFont="1" applyAlignment="1">
      <alignment horizontal="left"/>
    </xf>
    <xf numFmtId="0" fontId="0" fillId="0" borderId="0" xfId="53" applyNumberFormat="1" applyAlignment="1">
      <alignment horizontal="left"/>
    </xf>
    <xf numFmtId="0" fontId="6" fillId="0" borderId="0" xfId="53" applyFont="1" applyAlignment="1">
      <alignment horizontal="left" wrapText="1"/>
    </xf>
    <xf numFmtId="176" fontId="0" fillId="2" borderId="0" xfId="53" applyNumberFormat="1" applyFill="1" applyAlignment="1">
      <alignment horizontal="left"/>
    </xf>
    <xf numFmtId="0" fontId="6" fillId="2" borderId="0" xfId="53" applyFont="1" applyFill="1" applyAlignment="1">
      <alignment horizontal="left"/>
    </xf>
    <xf numFmtId="14" fontId="0" fillId="0" borderId="0" xfId="53" applyNumberFormat="1" applyAlignment="1">
      <alignment horizontal="left"/>
    </xf>
    <xf numFmtId="0" fontId="6" fillId="0" borderId="10" xfId="53" applyNumberFormat="1" applyFont="1" applyBorder="1" applyAlignment="1">
      <alignment horizontal="center"/>
    </xf>
    <xf numFmtId="0" fontId="6" fillId="0" borderId="11" xfId="53" applyNumberFormat="1" applyFont="1" applyBorder="1" applyAlignment="1">
      <alignment horizontal="left"/>
    </xf>
    <xf numFmtId="0" fontId="6" fillId="0" borderId="10" xfId="53" applyNumberFormat="1" applyFont="1" applyBorder="1" applyAlignment="1">
      <alignment horizontal="left"/>
    </xf>
    <xf numFmtId="0" fontId="6" fillId="0" borderId="0" xfId="53" applyNumberFormat="1" applyFont="1" applyBorder="1" applyAlignment="1">
      <alignment horizontal="left"/>
    </xf>
    <xf numFmtId="0" fontId="6" fillId="0" borderId="12" xfId="53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  <xf numFmtId="0" fontId="6" fillId="0" borderId="13" xfId="53" applyNumberFormat="1" applyFont="1" applyBorder="1" applyAlignment="1">
      <alignment horizontal="left"/>
    </xf>
    <xf numFmtId="0" fontId="1" fillId="0" borderId="14" xfId="0" applyNumberFormat="1" applyFont="1" applyBorder="1" applyAlignment="1">
      <alignment horizontal="left"/>
    </xf>
    <xf numFmtId="0" fontId="6" fillId="0" borderId="15" xfId="53" applyNumberFormat="1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8" fillId="3" borderId="19" xfId="0" applyNumberFormat="1" applyFont="1" applyFill="1" applyBorder="1" applyAlignment="1">
      <alignment horizontal="left" vertical="center"/>
    </xf>
    <xf numFmtId="0" fontId="0" fillId="3" borderId="20" xfId="0" applyNumberForma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77" fontId="13" fillId="3" borderId="22" xfId="0" applyNumberFormat="1" applyFont="1" applyFill="1" applyBorder="1" applyAlignment="1">
      <alignment horizontal="left" vertical="center"/>
    </xf>
    <xf numFmtId="177" fontId="13" fillId="3" borderId="0" xfId="0" applyNumberFormat="1" applyFont="1" applyFill="1" applyAlignment="1">
      <alignment horizontal="left" vertical="center"/>
    </xf>
    <xf numFmtId="0" fontId="12" fillId="3" borderId="27" xfId="0" applyNumberFormat="1" applyFont="1" applyFill="1" applyBorder="1" applyAlignment="1">
      <alignment horizontal="left" vertical="center"/>
    </xf>
    <xf numFmtId="0" fontId="12" fillId="3" borderId="19" xfId="0" applyNumberFormat="1" applyFont="1" applyFill="1" applyBorder="1" applyAlignment="1">
      <alignment horizontal="left" vertical="center"/>
    </xf>
    <xf numFmtId="0" fontId="12" fillId="3" borderId="28" xfId="0" applyNumberFormat="1" applyFont="1" applyFill="1" applyBorder="1" applyAlignment="1">
      <alignment horizontal="left" vertical="center"/>
    </xf>
    <xf numFmtId="0" fontId="14" fillId="3" borderId="27" xfId="52" applyNumberFormat="1" applyFont="1" applyFill="1" applyBorder="1" applyAlignment="1">
      <alignment horizontal="left" vertical="center"/>
    </xf>
    <xf numFmtId="0" fontId="8" fillId="3" borderId="27" xfId="0" applyNumberFormat="1" applyFont="1" applyFill="1" applyBorder="1" applyAlignment="1">
      <alignment horizontal="left" vertical="center" shrinkToFit="1"/>
    </xf>
    <xf numFmtId="0" fontId="8" fillId="3" borderId="17" xfId="0" applyNumberFormat="1" applyFont="1" applyFill="1" applyBorder="1" applyAlignment="1">
      <alignment vertical="center" wrapText="1" shrinkToFit="1"/>
    </xf>
    <xf numFmtId="0" fontId="8" fillId="3" borderId="21" xfId="0" applyNumberFormat="1" applyFont="1" applyFill="1" applyBorder="1" applyAlignment="1">
      <alignment vertical="center" wrapText="1" shrinkToFit="1"/>
    </xf>
    <xf numFmtId="0" fontId="8" fillId="3" borderId="22" xfId="0" applyNumberFormat="1" applyFont="1" applyFill="1" applyBorder="1" applyAlignment="1">
      <alignment vertical="center" wrapText="1" shrinkToFit="1"/>
    </xf>
    <xf numFmtId="0" fontId="8" fillId="3" borderId="23" xfId="0" applyNumberFormat="1" applyFont="1" applyFill="1" applyBorder="1" applyAlignment="1">
      <alignment vertical="center" wrapText="1" shrinkToFit="1"/>
    </xf>
    <xf numFmtId="0" fontId="8" fillId="3" borderId="25" xfId="0" applyNumberFormat="1" applyFont="1" applyFill="1" applyBorder="1" applyAlignment="1">
      <alignment vertical="center" wrapText="1" shrinkToFit="1"/>
    </xf>
    <xf numFmtId="0" fontId="8" fillId="3" borderId="26" xfId="0" applyNumberFormat="1" applyFont="1" applyFill="1" applyBorder="1" applyAlignment="1">
      <alignment vertical="center" wrapText="1" shrinkToFit="1"/>
    </xf>
    <xf numFmtId="0" fontId="12" fillId="3" borderId="17" xfId="0" applyNumberFormat="1" applyFont="1" applyFill="1" applyBorder="1" applyAlignment="1">
      <alignment horizontal="left" vertical="center"/>
    </xf>
    <xf numFmtId="0" fontId="12" fillId="3" borderId="18" xfId="0" applyNumberFormat="1" applyFont="1" applyFill="1" applyBorder="1" applyAlignment="1">
      <alignment horizontal="left" vertical="center"/>
    </xf>
    <xf numFmtId="0" fontId="12" fillId="3" borderId="20" xfId="0" applyNumberFormat="1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3" borderId="21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8" fillId="3" borderId="27" xfId="0" applyNumberFormat="1" applyFont="1" applyFill="1" applyBorder="1" applyAlignment="1">
      <alignment horizontal="left" vertical="center" wrapText="1" shrinkToFit="1"/>
    </xf>
    <xf numFmtId="0" fontId="1" fillId="3" borderId="27" xfId="52" applyNumberFormat="1" applyFont="1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14" fontId="8" fillId="3" borderId="19" xfId="0" applyNumberFormat="1" applyFont="1" applyFill="1" applyBorder="1" applyAlignment="1">
      <alignment horizontal="left" vertical="center"/>
    </xf>
    <xf numFmtId="14" fontId="8" fillId="3" borderId="28" xfId="0" applyNumberFormat="1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3" borderId="29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NumberFormat="1" applyFont="1" applyFill="1" applyBorder="1" applyAlignment="1">
      <alignment horizontal="left" vertical="center"/>
    </xf>
    <xf numFmtId="0" fontId="17" fillId="3" borderId="27" xfId="52" applyNumberFormat="1" applyFont="1" applyFill="1" applyBorder="1" applyAlignment="1">
      <alignment horizontal="left" vertical="center"/>
    </xf>
    <xf numFmtId="0" fontId="12" fillId="3" borderId="21" xfId="0" applyNumberFormat="1" applyFont="1" applyFill="1" applyBorder="1" applyAlignment="1">
      <alignment horizontal="left" vertical="top"/>
    </xf>
    <xf numFmtId="0" fontId="12" fillId="3" borderId="0" xfId="0" applyNumberFormat="1" applyFont="1" applyFill="1" applyAlignment="1">
      <alignment horizontal="left" vertical="top"/>
    </xf>
    <xf numFmtId="0" fontId="12" fillId="3" borderId="16" xfId="0" applyNumberFormat="1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6" xfId="0" applyFont="1" applyFill="1" applyBorder="1" applyAlignment="1">
      <alignment horizontal="left" vertical="center"/>
    </xf>
    <xf numFmtId="177" fontId="13" fillId="3" borderId="23" xfId="0" applyNumberFormat="1" applyFont="1" applyFill="1" applyBorder="1" applyAlignment="1">
      <alignment horizontal="left" vertical="center"/>
    </xf>
    <xf numFmtId="177" fontId="8" fillId="3" borderId="0" xfId="0" applyNumberFormat="1" applyFont="1" applyFill="1" applyAlignment="1">
      <alignment horizontal="left" vertical="center"/>
    </xf>
    <xf numFmtId="177" fontId="8" fillId="0" borderId="0" xfId="0" applyNumberFormat="1" applyFont="1" applyAlignment="1">
      <alignment horizontal="left" vertical="center"/>
    </xf>
    <xf numFmtId="0" fontId="8" fillId="3" borderId="0" xfId="0" applyNumberFormat="1" applyFont="1" applyFill="1" applyAlignment="1">
      <alignment horizontal="left" vertical="center"/>
    </xf>
    <xf numFmtId="0" fontId="17" fillId="3" borderId="17" xfId="52" applyNumberFormat="1" applyFont="1" applyFill="1" applyBorder="1" applyAlignment="1">
      <alignment horizontal="left" vertical="center"/>
    </xf>
    <xf numFmtId="0" fontId="17" fillId="3" borderId="21" xfId="52" applyNumberFormat="1" applyFont="1" applyFill="1" applyBorder="1" applyAlignment="1">
      <alignment horizontal="left" vertical="center"/>
    </xf>
    <xf numFmtId="0" fontId="17" fillId="3" borderId="22" xfId="52" applyNumberFormat="1" applyFont="1" applyFill="1" applyBorder="1" applyAlignment="1">
      <alignment horizontal="left" vertical="center"/>
    </xf>
    <xf numFmtId="0" fontId="17" fillId="3" borderId="23" xfId="52" applyNumberFormat="1" applyFont="1" applyFill="1" applyBorder="1" applyAlignment="1">
      <alignment horizontal="left" vertical="center"/>
    </xf>
    <xf numFmtId="0" fontId="17" fillId="3" borderId="25" xfId="52" applyNumberFormat="1" applyFont="1" applyFill="1" applyBorder="1" applyAlignment="1">
      <alignment horizontal="left" vertical="center"/>
    </xf>
    <xf numFmtId="0" fontId="17" fillId="3" borderId="26" xfId="52" applyNumberFormat="1" applyFont="1" applyFill="1" applyBorder="1" applyAlignment="1">
      <alignment horizontal="left" vertical="center"/>
    </xf>
    <xf numFmtId="0" fontId="12" fillId="3" borderId="23" xfId="0" applyNumberFormat="1" applyFont="1" applyFill="1" applyBorder="1" applyAlignment="1">
      <alignment horizontal="left" vertical="top"/>
    </xf>
    <xf numFmtId="0" fontId="12" fillId="3" borderId="26" xfId="0" applyNumberFormat="1" applyFont="1" applyFill="1" applyBorder="1" applyAlignment="1">
      <alignment horizontal="left" vertical="top"/>
    </xf>
    <xf numFmtId="178" fontId="0" fillId="0" borderId="0" xfId="0" applyNumberFormat="1" applyAlignme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23" fillId="0" borderId="0" xfId="0" applyFont="1" applyAlignment="1"/>
    <xf numFmtId="0" fontId="0" fillId="0" borderId="16" xfId="0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23" fillId="0" borderId="16" xfId="0" applyFont="1" applyBorder="1" applyAlignment="1"/>
    <xf numFmtId="0" fontId="1" fillId="0" borderId="24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23" fillId="0" borderId="29" xfId="0" applyNumberFormat="1" applyFont="1" applyBorder="1" applyAlignment="1">
      <alignment horizontal="center"/>
    </xf>
    <xf numFmtId="0" fontId="23" fillId="0" borderId="23" xfId="0" applyNumberFormat="1" applyFont="1" applyBorder="1" applyAlignment="1">
      <alignment horizontal="center"/>
    </xf>
    <xf numFmtId="0" fontId="23" fillId="0" borderId="0" xfId="0" applyNumberFormat="1" applyFont="1" applyAlignment="1">
      <alignment horizontal="center"/>
    </xf>
    <xf numFmtId="0" fontId="1" fillId="0" borderId="30" xfId="0" applyNumberFormat="1" applyFont="1" applyBorder="1" applyAlignment="1"/>
    <xf numFmtId="0" fontId="1" fillId="0" borderId="26" xfId="0" applyNumberFormat="1" applyFon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0" fontId="1" fillId="0" borderId="22" xfId="0" applyNumberFormat="1" applyFont="1" applyBorder="1" applyAlignment="1"/>
    <xf numFmtId="0" fontId="1" fillId="0" borderId="22" xfId="0" applyNumberFormat="1" applyFont="1" applyBorder="1" applyAlignment="1">
      <alignment horizontal="center"/>
    </xf>
    <xf numFmtId="0" fontId="1" fillId="0" borderId="29" xfId="0" applyNumberFormat="1" applyFont="1" applyBorder="1" applyAlignment="1">
      <alignment horizontal="left"/>
    </xf>
    <xf numFmtId="0" fontId="1" fillId="0" borderId="23" xfId="0" applyNumberFormat="1" applyFont="1" applyBorder="1" applyAlignment="1">
      <alignment horizontal="right"/>
    </xf>
    <xf numFmtId="0" fontId="1" fillId="0" borderId="29" xfId="0" applyNumberFormat="1" applyFont="1" applyBorder="1" applyAlignment="1"/>
    <xf numFmtId="0" fontId="1" fillId="0" borderId="18" xfId="0" applyNumberFormat="1" applyFont="1" applyBorder="1" applyAlignment="1"/>
    <xf numFmtId="0" fontId="1" fillId="0" borderId="18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4" fontId="0" fillId="0" borderId="18" xfId="0" applyNumberFormat="1" applyBorder="1" applyAlignment="1">
      <alignment horizontal="left"/>
    </xf>
    <xf numFmtId="0" fontId="1" fillId="0" borderId="29" xfId="0" applyNumberFormat="1" applyFont="1" applyBorder="1" applyAlignment="1">
      <alignment horizontal="center"/>
    </xf>
    <xf numFmtId="0" fontId="23" fillId="0" borderId="22" xfId="0" applyNumberFormat="1" applyFont="1" applyBorder="1" applyAlignment="1">
      <alignment horizontal="center"/>
    </xf>
    <xf numFmtId="0" fontId="1" fillId="0" borderId="25" xfId="0" applyNumberFormat="1" applyFont="1" applyBorder="1" applyAlignment="1">
      <alignment horizontal="center"/>
    </xf>
    <xf numFmtId="0" fontId="1" fillId="0" borderId="30" xfId="0" applyNumberFormat="1" applyFont="1" applyBorder="1" applyAlignment="1">
      <alignment horizontal="center"/>
    </xf>
    <xf numFmtId="0" fontId="20" fillId="0" borderId="30" xfId="0" applyNumberFormat="1" applyFont="1" applyBorder="1" applyAlignment="1">
      <alignment horizontal="center"/>
    </xf>
    <xf numFmtId="0" fontId="20" fillId="0" borderId="29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right"/>
    </xf>
    <xf numFmtId="178" fontId="18" fillId="0" borderId="0" xfId="0" applyNumberFormat="1" applyFont="1" applyAlignment="1">
      <alignment horizontal="center"/>
    </xf>
    <xf numFmtId="178" fontId="19" fillId="0" borderId="0" xfId="0" applyNumberFormat="1" applyFont="1" applyAlignment="1">
      <alignment horizontal="center"/>
    </xf>
    <xf numFmtId="178" fontId="20" fillId="0" borderId="0" xfId="0" applyNumberFormat="1" applyFont="1" applyAlignment="1">
      <alignment horizontal="center"/>
    </xf>
    <xf numFmtId="178" fontId="22" fillId="0" borderId="0" xfId="0" applyNumberFormat="1" applyFont="1" applyAlignment="1">
      <alignment horizontal="center"/>
    </xf>
    <xf numFmtId="178" fontId="0" fillId="0" borderId="0" xfId="0" applyNumberFormat="1" applyAlignment="1">
      <alignment horizontal="left"/>
    </xf>
    <xf numFmtId="178" fontId="0" fillId="0" borderId="16" xfId="0" applyNumberFormat="1" applyBorder="1" applyAlignment="1">
      <alignment horizontal="left"/>
    </xf>
    <xf numFmtId="178" fontId="0" fillId="0" borderId="18" xfId="0" applyNumberFormat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23" fillId="0" borderId="0" xfId="0" applyNumberFormat="1" applyFont="1" applyAlignment="1"/>
    <xf numFmtId="0" fontId="1" fillId="0" borderId="16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16" xfId="0" applyNumberFormat="1" applyBorder="1" applyAlignment="1">
      <alignment horizontal="left"/>
    </xf>
    <xf numFmtId="0" fontId="1" fillId="0" borderId="21" xfId="0" applyNumberFormat="1" applyFont="1" applyBorder="1" applyAlignment="1">
      <alignment horizontal="center"/>
    </xf>
    <xf numFmtId="0" fontId="1" fillId="0" borderId="17" xfId="0" applyNumberFormat="1" applyFont="1" applyBorder="1" applyAlignment="1">
      <alignment horizontal="center"/>
    </xf>
    <xf numFmtId="0" fontId="23" fillId="0" borderId="26" xfId="0" applyNumberFormat="1" applyFont="1" applyBorder="1" applyAlignment="1">
      <alignment horizontal="center"/>
    </xf>
    <xf numFmtId="0" fontId="23" fillId="0" borderId="25" xfId="0" applyNumberFormat="1" applyFont="1" applyBorder="1" applyAlignment="1">
      <alignment horizontal="center"/>
    </xf>
    <xf numFmtId="0" fontId="23" fillId="0" borderId="17" xfId="0" applyNumberFormat="1" applyFont="1" applyBorder="1" applyAlignment="1">
      <alignment horizontal="center"/>
    </xf>
    <xf numFmtId="0" fontId="23" fillId="0" borderId="18" xfId="0" applyNumberFormat="1" applyFont="1" applyBorder="1" applyAlignment="1">
      <alignment horizontal="center"/>
    </xf>
    <xf numFmtId="0" fontId="1" fillId="0" borderId="22" xfId="0" applyNumberFormat="1" applyFont="1" applyBorder="1" applyAlignment="1">
      <alignment horizontal="left"/>
    </xf>
    <xf numFmtId="0" fontId="1" fillId="0" borderId="22" xfId="0" applyNumberFormat="1" applyFont="1" applyBorder="1" applyAlignment="1">
      <alignment horizontal="right"/>
    </xf>
    <xf numFmtId="0" fontId="1" fillId="0" borderId="23" xfId="0" applyNumberFormat="1" applyFont="1" applyBorder="1" applyAlignment="1">
      <alignment horizontal="left"/>
    </xf>
    <xf numFmtId="0" fontId="0" fillId="0" borderId="23" xfId="0" applyNumberFormat="1" applyBorder="1" applyAlignment="1"/>
    <xf numFmtId="0" fontId="0" fillId="0" borderId="18" xfId="0" applyNumberFormat="1" applyBorder="1" applyAlignment="1"/>
    <xf numFmtId="0" fontId="0" fillId="0" borderId="18" xfId="0" applyNumberFormat="1" applyBorder="1" applyAlignment="1">
      <alignment horizontal="right"/>
    </xf>
    <xf numFmtId="0" fontId="1" fillId="0" borderId="18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left" vertical="center" wrapText="1"/>
    </xf>
    <xf numFmtId="0" fontId="0" fillId="3" borderId="0" xfId="0" applyNumberFormat="1" applyFill="1" applyAlignment="1">
      <alignment horizontal="left"/>
    </xf>
    <xf numFmtId="0" fontId="0" fillId="3" borderId="16" xfId="0" applyNumberFormat="1" applyFill="1" applyBorder="1" applyAlignment="1">
      <alignment horizontal="left"/>
    </xf>
    <xf numFmtId="0" fontId="23" fillId="0" borderId="30" xfId="0" applyNumberFormat="1" applyFont="1" applyBorder="1" applyAlignment="1">
      <alignment horizontal="center"/>
    </xf>
    <xf numFmtId="0" fontId="23" fillId="0" borderId="21" xfId="0" applyNumberFormat="1" applyFont="1" applyBorder="1" applyAlignment="1">
      <alignment horizontal="center"/>
    </xf>
    <xf numFmtId="0" fontId="24" fillId="0" borderId="23" xfId="0" applyNumberFormat="1" applyFont="1" applyBorder="1" applyAlignment="1">
      <alignment horizontal="center" vertical="center"/>
    </xf>
    <xf numFmtId="0" fontId="23" fillId="0" borderId="24" xfId="0" applyNumberFormat="1" applyFont="1" applyBorder="1" applyAlignment="1">
      <alignment horizontal="center"/>
    </xf>
    <xf numFmtId="0" fontId="1" fillId="0" borderId="23" xfId="53" applyNumberFormat="1" applyFont="1" applyBorder="1" applyAlignment="1">
      <alignment horizontal="left"/>
    </xf>
    <xf numFmtId="0" fontId="1" fillId="0" borderId="18" xfId="0" applyNumberFormat="1" applyFont="1" applyBorder="1" applyAlignment="1">
      <alignment horizontal="center"/>
    </xf>
    <xf numFmtId="0" fontId="25" fillId="0" borderId="0" xfId="0" applyFont="1" applyFill="1" applyBorder="1" applyAlignment="1"/>
    <xf numFmtId="0" fontId="25" fillId="0" borderId="0" xfId="0" applyFont="1" applyFill="1" applyAlignment="1"/>
    <xf numFmtId="0" fontId="26" fillId="4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1" fillId="6" borderId="31" xfId="0" applyFont="1" applyFill="1" applyBorder="1" applyAlignment="1">
      <alignment horizontal="left" vertical="center"/>
    </xf>
    <xf numFmtId="0" fontId="28" fillId="0" borderId="0" xfId="0" applyFont="1" applyFill="1" applyAlignment="1"/>
    <xf numFmtId="0" fontId="1" fillId="4" borderId="32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 2 2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1804035</xdr:colOff>
      <xdr:row>14</xdr:row>
      <xdr:rowOff>32385</xdr:rowOff>
    </xdr:from>
    <xdr:to>
      <xdr:col>2</xdr:col>
      <xdr:colOff>1644650</xdr:colOff>
      <xdr:row>21</xdr:row>
      <xdr:rowOff>175260</xdr:rowOff>
    </xdr:to>
    <xdr:pic>
      <xdr:nvPicPr>
        <xdr:cNvPr id="23553" name="Picture 38" descr="锦林单证章"/>
        <xdr:cNvPicPr/>
      </xdr:nvPicPr>
      <xdr:blipFill>
        <a:blip r:embed="rId1"/>
        <a:stretch>
          <a:fillRect/>
        </a:stretch>
      </xdr:blipFill>
      <xdr:spPr>
        <a:xfrm>
          <a:off x="3430905" y="4487545"/>
          <a:ext cx="1814195" cy="170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628015</xdr:colOff>
      <xdr:row>14</xdr:row>
      <xdr:rowOff>42545</xdr:rowOff>
    </xdr:from>
    <xdr:to>
      <xdr:col>3</xdr:col>
      <xdr:colOff>2823845</xdr:colOff>
      <xdr:row>22</xdr:row>
      <xdr:rowOff>71755</xdr:rowOff>
    </xdr:to>
    <xdr:pic>
      <xdr:nvPicPr>
        <xdr:cNvPr id="23554" name="Picture 50" descr="S28BW-415032513531"/>
        <xdr:cNvPicPr>
          <a:picLocks noChangeAspect="1"/>
        </xdr:cNvPicPr>
      </xdr:nvPicPr>
      <xdr:blipFill>
        <a:blip r:embed="rId2">
          <a:lum contrast="20000"/>
        </a:blip>
        <a:stretch>
          <a:fillRect/>
        </a:stretch>
      </xdr:blipFill>
      <xdr:spPr>
        <a:xfrm>
          <a:off x="5997575" y="4497705"/>
          <a:ext cx="2195830" cy="181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401955</xdr:colOff>
      <xdr:row>14</xdr:row>
      <xdr:rowOff>101600</xdr:rowOff>
    </xdr:from>
    <xdr:to>
      <xdr:col>1</xdr:col>
      <xdr:colOff>1013460</xdr:colOff>
      <xdr:row>20</xdr:row>
      <xdr:rowOff>81915</xdr:rowOff>
    </xdr:to>
    <xdr:pic>
      <xdr:nvPicPr>
        <xdr:cNvPr id="23555" name="图片 1" descr="wecom-temp-21e9903907f5291cfbc8c4e7d6085e2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955" y="4556760"/>
          <a:ext cx="2238375" cy="1321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408305</xdr:colOff>
      <xdr:row>14</xdr:row>
      <xdr:rowOff>101600</xdr:rowOff>
    </xdr:from>
    <xdr:to>
      <xdr:col>4</xdr:col>
      <xdr:colOff>2625090</xdr:colOff>
      <xdr:row>21</xdr:row>
      <xdr:rowOff>196215</xdr:rowOff>
    </xdr:to>
    <xdr:pic>
      <xdr:nvPicPr>
        <xdr:cNvPr id="23556" name="图片 3" descr="bgd_ftj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93835" y="4556760"/>
          <a:ext cx="2216785" cy="1659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zoomScaleSheetLayoutView="60" topLeftCell="L1" workbookViewId="0">
      <pane ySplit="1" topLeftCell="A2" activePane="bottomLeft" state="frozen"/>
      <selection/>
      <selection pane="bottomLeft" activeCell="T20" sqref="T20"/>
    </sheetView>
  </sheetViews>
  <sheetFormatPr defaultColWidth="9.125" defaultRowHeight="15.2"/>
  <cols>
    <col min="1" max="1" width="15.625" style="197" customWidth="1"/>
    <col min="2" max="2" width="25.5892857142857" style="197" customWidth="1"/>
    <col min="3" max="3" width="28.8660714285714" style="197" customWidth="1"/>
    <col min="4" max="4" width="26.1964285714286" style="197" customWidth="1"/>
    <col min="5" max="5" width="21.4285714285714" style="197" customWidth="1"/>
    <col min="6" max="6" width="25.5892857142857" style="197" customWidth="1"/>
    <col min="7" max="7" width="26.1875" style="197" customWidth="1"/>
    <col min="8" max="8" width="19.9375" style="197" customWidth="1"/>
    <col min="9" max="9" width="19.7857142857143" style="197" customWidth="1"/>
    <col min="10" max="10" width="19.1875" style="197" customWidth="1"/>
    <col min="11" max="11" width="19.3482142857143" style="197" customWidth="1"/>
    <col min="12" max="12" width="16.0625" style="197" customWidth="1"/>
    <col min="13" max="13" width="18.7410714285714" style="197" customWidth="1"/>
    <col min="14" max="14" width="19.7857142857143" style="197" customWidth="1"/>
    <col min="15" max="15" width="16.9553571428571" style="197" customWidth="1"/>
    <col min="16" max="16" width="13.6785714285714" style="197" customWidth="1"/>
    <col min="17" max="17" width="20.0803571428571" style="197" customWidth="1"/>
    <col min="18" max="18" width="13.0892857142857" style="197" customWidth="1"/>
    <col min="19" max="19" width="28.8660714285714" style="197" customWidth="1"/>
    <col min="20" max="20" width="14.7232142857143" style="197" customWidth="1"/>
    <col min="21" max="21" width="16.5089285714286" style="197" customWidth="1"/>
    <col min="22" max="22" width="16.3660714285714" style="197" customWidth="1"/>
    <col min="23" max="23" width="18.7410714285714" style="197" customWidth="1"/>
    <col min="24" max="24" width="15.6160714285714" style="197" customWidth="1"/>
    <col min="25" max="25" width="17.8482142857143" style="197" customWidth="1"/>
    <col min="26" max="16384" width="9.125" style="197"/>
  </cols>
  <sheetData>
    <row r="1" ht="19" customHeight="1" spans="1:1">
      <c r="A1" s="198" t="s">
        <v>0</v>
      </c>
    </row>
    <row r="2" ht="17.5" customHeight="1" spans="1:1">
      <c r="A2" s="199" t="s">
        <v>1</v>
      </c>
    </row>
    <row r="3" spans="1:8">
      <c r="A3" s="200" t="s">
        <v>2</v>
      </c>
      <c r="B3" s="197" t="s">
        <v>3</v>
      </c>
      <c r="C3" s="200" t="s">
        <v>4</v>
      </c>
      <c r="D3" s="197" t="s">
        <v>5</v>
      </c>
      <c r="E3" s="200" t="s">
        <v>6</v>
      </c>
      <c r="F3" s="197" t="s">
        <v>7</v>
      </c>
      <c r="G3" s="200" t="s">
        <v>8</v>
      </c>
      <c r="H3" s="197" t="s">
        <v>9</v>
      </c>
    </row>
    <row r="4" spans="1:8">
      <c r="A4" s="200" t="s">
        <v>10</v>
      </c>
      <c r="B4" s="197" t="s">
        <v>11</v>
      </c>
      <c r="C4" s="200" t="s">
        <v>12</v>
      </c>
      <c r="D4" s="197" t="s">
        <v>13</v>
      </c>
      <c r="E4" s="200" t="s">
        <v>14</v>
      </c>
      <c r="F4" s="197" t="s">
        <v>13</v>
      </c>
      <c r="G4" s="200" t="s">
        <v>15</v>
      </c>
      <c r="H4" s="197" t="s">
        <v>16</v>
      </c>
    </row>
    <row r="5" spans="1:8">
      <c r="A5" s="200" t="s">
        <v>17</v>
      </c>
      <c r="B5" s="197" t="s">
        <v>18</v>
      </c>
      <c r="C5" s="200" t="s">
        <v>19</v>
      </c>
      <c r="D5" s="197" t="s">
        <v>20</v>
      </c>
      <c r="E5" s="200" t="s">
        <v>21</v>
      </c>
      <c r="F5" s="197" t="s">
        <v>22</v>
      </c>
      <c r="G5" s="200" t="s">
        <v>23</v>
      </c>
      <c r="H5" s="197" t="s">
        <v>24</v>
      </c>
    </row>
    <row r="6" spans="1:8">
      <c r="A6" s="200" t="s">
        <v>25</v>
      </c>
      <c r="B6" s="197" t="s">
        <v>26</v>
      </c>
      <c r="C6" s="200" t="s">
        <v>27</v>
      </c>
      <c r="D6" s="197" t="s">
        <v>28</v>
      </c>
      <c r="E6" s="200" t="s">
        <v>29</v>
      </c>
      <c r="F6" s="197" t="s">
        <v>30</v>
      </c>
      <c r="G6" s="200" t="s">
        <v>31</v>
      </c>
      <c r="H6" s="197" t="s">
        <v>32</v>
      </c>
    </row>
    <row r="7" spans="1:8">
      <c r="A7" s="200" t="s">
        <v>33</v>
      </c>
      <c r="B7" s="197" t="s">
        <v>34</v>
      </c>
      <c r="C7" s="200" t="s">
        <v>33</v>
      </c>
      <c r="E7" s="200" t="s">
        <v>35</v>
      </c>
      <c r="F7" s="201" t="s">
        <v>36</v>
      </c>
      <c r="G7" s="200" t="s">
        <v>37</v>
      </c>
      <c r="H7" s="197" t="s">
        <v>38</v>
      </c>
    </row>
    <row r="8" spans="1:8">
      <c r="A8" s="200" t="s">
        <v>39</v>
      </c>
      <c r="B8" s="197" t="s">
        <v>40</v>
      </c>
      <c r="C8" s="200" t="s">
        <v>41</v>
      </c>
      <c r="D8" s="197" t="s">
        <v>42</v>
      </c>
      <c r="E8" s="200" t="s">
        <v>43</v>
      </c>
      <c r="F8" s="197" t="s">
        <v>44</v>
      </c>
      <c r="G8" s="200" t="s">
        <v>45</v>
      </c>
      <c r="H8" s="197" t="s">
        <v>46</v>
      </c>
    </row>
    <row r="9" ht="17.5" customHeight="1" spans="1:1">
      <c r="A9" s="199" t="s">
        <v>47</v>
      </c>
    </row>
    <row r="10" spans="1:8">
      <c r="A10" s="200" t="s">
        <v>48</v>
      </c>
      <c r="B10" s="197" t="s">
        <v>49</v>
      </c>
      <c r="C10" s="200" t="s">
        <v>50</v>
      </c>
      <c r="D10" s="197" t="s">
        <v>51</v>
      </c>
      <c r="E10" s="200" t="s">
        <v>52</v>
      </c>
      <c r="F10" s="197" t="s">
        <v>53</v>
      </c>
      <c r="G10" s="200" t="s">
        <v>54</v>
      </c>
      <c r="H10" s="197" t="s">
        <v>55</v>
      </c>
    </row>
    <row r="11" spans="1:2">
      <c r="A11" s="200" t="s">
        <v>56</v>
      </c>
      <c r="B11" s="197" t="s">
        <v>57</v>
      </c>
    </row>
    <row r="12" ht="17.5" customHeight="1" spans="1:1">
      <c r="A12" s="199" t="s">
        <v>58</v>
      </c>
    </row>
    <row r="13" spans="1:8">
      <c r="A13" s="200" t="s">
        <v>59</v>
      </c>
      <c r="B13" s="201" t="s">
        <v>60</v>
      </c>
      <c r="C13" s="200" t="s">
        <v>61</v>
      </c>
      <c r="D13" s="197" t="s">
        <v>62</v>
      </c>
      <c r="E13" s="200" t="s">
        <v>63</v>
      </c>
      <c r="F13" s="197" t="s">
        <v>64</v>
      </c>
      <c r="G13" s="200" t="s">
        <v>65</v>
      </c>
      <c r="H13" s="197" t="s">
        <v>66</v>
      </c>
    </row>
    <row r="14" spans="1:2">
      <c r="A14" s="200" t="s">
        <v>67</v>
      </c>
      <c r="B14" s="197" t="s">
        <v>68</v>
      </c>
    </row>
    <row r="16" s="196" customFormat="1" ht="15" customHeight="1" spans="1:25">
      <c r="A16" s="202" t="s">
        <v>69</v>
      </c>
      <c r="B16" s="202" t="s">
        <v>70</v>
      </c>
      <c r="C16" s="202" t="s">
        <v>71</v>
      </c>
      <c r="D16" s="202" t="s">
        <v>72</v>
      </c>
      <c r="E16" s="202" t="s">
        <v>73</v>
      </c>
      <c r="F16" s="202" t="s">
        <v>74</v>
      </c>
      <c r="G16" s="202" t="s">
        <v>75</v>
      </c>
      <c r="H16" s="202" t="s">
        <v>76</v>
      </c>
      <c r="I16" s="202" t="s">
        <v>77</v>
      </c>
      <c r="J16" s="202" t="s">
        <v>78</v>
      </c>
      <c r="K16" s="202" t="s">
        <v>79</v>
      </c>
      <c r="L16" s="202" t="s">
        <v>80</v>
      </c>
      <c r="M16" s="202" t="s">
        <v>81</v>
      </c>
      <c r="N16" s="202" t="s">
        <v>82</v>
      </c>
      <c r="O16" s="202" t="s">
        <v>83</v>
      </c>
      <c r="P16" s="202" t="s">
        <v>84</v>
      </c>
      <c r="Q16" s="202" t="s">
        <v>85</v>
      </c>
      <c r="R16" s="202" t="s">
        <v>86</v>
      </c>
      <c r="S16" s="202" t="s">
        <v>87</v>
      </c>
      <c r="T16" s="202" t="s">
        <v>88</v>
      </c>
      <c r="U16" s="202" t="s">
        <v>89</v>
      </c>
      <c r="V16" s="202" t="s">
        <v>90</v>
      </c>
      <c r="W16" s="202" t="s">
        <v>91</v>
      </c>
      <c r="X16" s="202" t="s">
        <v>92</v>
      </c>
      <c r="Y16" s="202" t="s">
        <v>93</v>
      </c>
    </row>
    <row r="17" customHeight="1" spans="1:25">
      <c r="A17" s="197" t="s">
        <v>94</v>
      </c>
      <c r="B17" s="197" t="s">
        <v>95</v>
      </c>
      <c r="C17" s="197" t="s">
        <v>96</v>
      </c>
      <c r="D17" s="197" t="s">
        <v>97</v>
      </c>
      <c r="E17" s="197" t="s">
        <v>98</v>
      </c>
      <c r="F17" s="197" t="s">
        <v>99</v>
      </c>
      <c r="G17" s="197" t="s">
        <v>100</v>
      </c>
      <c r="H17" s="197" t="s">
        <v>101</v>
      </c>
      <c r="I17" s="197" t="s">
        <v>102</v>
      </c>
      <c r="J17" s="197" t="s">
        <v>103</v>
      </c>
      <c r="K17" s="197" t="s">
        <v>104</v>
      </c>
      <c r="L17" s="197" t="s">
        <v>105</v>
      </c>
      <c r="M17" s="197" t="s">
        <v>106</v>
      </c>
      <c r="N17" s="197" t="s">
        <v>107</v>
      </c>
      <c r="O17" s="197" t="s">
        <v>108</v>
      </c>
      <c r="P17" s="197" t="s">
        <v>109</v>
      </c>
      <c r="Q17" s="197" t="s">
        <v>110</v>
      </c>
      <c r="R17" s="197" t="s">
        <v>111</v>
      </c>
      <c r="S17" s="197" t="s">
        <v>112</v>
      </c>
      <c r="T17" s="197" t="s">
        <v>113</v>
      </c>
      <c r="U17" s="197" t="s">
        <v>114</v>
      </c>
      <c r="V17" s="197" t="s">
        <v>115</v>
      </c>
      <c r="W17" s="197" t="s">
        <v>116</v>
      </c>
      <c r="X17" s="197" t="s">
        <v>117</v>
      </c>
      <c r="Y17" s="197" t="s">
        <v>118</v>
      </c>
    </row>
  </sheetData>
  <mergeCells count="8">
    <mergeCell ref="A1:H1"/>
    <mergeCell ref="A1:H1"/>
    <mergeCell ref="A2:B2"/>
    <mergeCell ref="A2:B2"/>
    <mergeCell ref="A9:B9"/>
    <mergeCell ref="A9:B9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showZeros="0" zoomScaleSheetLayoutView="60" topLeftCell="A10" workbookViewId="0">
      <selection activeCell="H25" sqref="H25"/>
    </sheetView>
  </sheetViews>
  <sheetFormatPr defaultColWidth="9.125" defaultRowHeight="17.6"/>
  <cols>
    <col min="1" max="1" width="13.125" style="6" customWidth="1"/>
    <col min="2" max="2" width="33.625" style="6" customWidth="1"/>
    <col min="3" max="3" width="8.625" style="6" customWidth="1"/>
    <col min="4" max="4" width="5.5" style="6" customWidth="1"/>
    <col min="5" max="5" width="6.75" style="6" customWidth="1"/>
    <col min="6" max="6" width="4.625" style="6" customWidth="1"/>
    <col min="7" max="7" width="14" style="6" customWidth="1"/>
    <col min="8" max="8" width="17.375" style="6" customWidth="1"/>
    <col min="9" max="32" width="9" style="6"/>
    <col min="33" max="16384" width="9.125" style="6"/>
  </cols>
  <sheetData>
    <row r="1" ht="34.4" spans="1:8">
      <c r="A1" s="121" t="str">
        <f>商检明细!B13</f>
        <v>{companyTitle}</v>
      </c>
      <c r="B1" s="121"/>
      <c r="C1" s="121"/>
      <c r="D1" s="121"/>
      <c r="E1" s="121"/>
      <c r="F1" s="121"/>
      <c r="G1" s="121"/>
      <c r="H1" s="121"/>
    </row>
    <row r="2" ht="23.2" spans="1:8">
      <c r="A2" s="122" t="e">
        <f>VLOOKUP(A1,资料!A3:D8,2,0)</f>
        <v>#N/A</v>
      </c>
      <c r="B2" s="122"/>
      <c r="C2" s="122"/>
      <c r="D2" s="122"/>
      <c r="E2" s="122"/>
      <c r="F2" s="122"/>
      <c r="G2" s="122"/>
      <c r="H2" s="122"/>
    </row>
    <row r="3" spans="1:8">
      <c r="A3" s="123" t="e">
        <f>VLOOKUP(A1,资料!A3:D8,3,0)</f>
        <v>#N/A</v>
      </c>
      <c r="B3" s="123"/>
      <c r="C3" s="123"/>
      <c r="D3" s="123"/>
      <c r="E3" s="123"/>
      <c r="F3" s="123"/>
      <c r="G3" s="123"/>
      <c r="H3" s="123"/>
    </row>
    <row r="4" ht="20.4" spans="1:8">
      <c r="A4" s="167"/>
      <c r="B4" s="167"/>
      <c r="C4" s="167"/>
      <c r="D4" s="167"/>
      <c r="E4" s="167"/>
      <c r="F4" s="167"/>
      <c r="G4" s="167"/>
      <c r="H4" s="167"/>
    </row>
    <row r="5" ht="20.4" spans="1:8">
      <c r="A5" s="125" t="s">
        <v>119</v>
      </c>
      <c r="B5" s="125"/>
      <c r="C5" s="125"/>
      <c r="D5" s="125"/>
      <c r="E5" s="125"/>
      <c r="F5" s="125"/>
      <c r="G5" s="125"/>
      <c r="H5" s="125"/>
    </row>
    <row r="6" ht="6.75" customHeight="1" spans="1:8">
      <c r="A6" s="125"/>
      <c r="B6" s="125"/>
      <c r="C6" s="125"/>
      <c r="D6" s="125"/>
      <c r="E6" s="125"/>
      <c r="F6" s="125"/>
      <c r="G6" s="125"/>
      <c r="H6" s="125"/>
    </row>
    <row r="7" ht="12" customHeight="1" spans="1:8">
      <c r="A7" s="126" t="s">
        <v>120</v>
      </c>
      <c r="B7" s="127"/>
      <c r="E7" s="126" t="s">
        <v>121</v>
      </c>
      <c r="F7" s="126"/>
      <c r="G7" s="127" t="str">
        <f>商检明细!B3</f>
        <v>{invoiceCode}</v>
      </c>
      <c r="H7" s="127"/>
    </row>
    <row r="8" ht="12" customHeight="1" spans="1:8">
      <c r="A8" s="128" t="s">
        <v>122</v>
      </c>
      <c r="B8" s="129"/>
      <c r="E8" s="128" t="s">
        <v>123</v>
      </c>
      <c r="F8" s="128"/>
      <c r="G8" s="129"/>
      <c r="H8" s="129"/>
    </row>
    <row r="9" ht="9" customHeight="1"/>
    <row r="10" ht="12" customHeight="1" spans="1:9">
      <c r="A10" s="168" t="s">
        <v>124</v>
      </c>
      <c r="B10" s="169" t="str">
        <f>商检明细!B5</f>
        <v>{saleContractCode}</v>
      </c>
      <c r="C10" s="15"/>
      <c r="D10" s="15"/>
      <c r="E10" s="168" t="s">
        <v>125</v>
      </c>
      <c r="F10" s="168"/>
      <c r="G10" s="188" t="str">
        <f>LEFT(商检明细!F3,10)</f>
        <v>{inputDate</v>
      </c>
      <c r="H10" s="188"/>
      <c r="I10" s="15"/>
    </row>
    <row r="11" ht="12.75" customHeight="1" spans="1:9">
      <c r="A11" s="170" t="s">
        <v>126</v>
      </c>
      <c r="B11" s="171"/>
      <c r="C11" s="15"/>
      <c r="D11" s="15"/>
      <c r="E11" s="170" t="s">
        <v>127</v>
      </c>
      <c r="F11" s="170"/>
      <c r="G11" s="189"/>
      <c r="H11" s="189"/>
      <c r="I11" s="15"/>
    </row>
    <row r="12" ht="8.25" customHeight="1" spans="1:9">
      <c r="A12" s="15"/>
      <c r="B12" s="15"/>
      <c r="C12" s="15"/>
      <c r="D12" s="15"/>
      <c r="E12" s="15"/>
      <c r="F12" s="15"/>
      <c r="G12" s="15"/>
      <c r="H12" s="15"/>
      <c r="I12" s="15"/>
    </row>
    <row r="13" ht="11.25" customHeight="1" spans="1:9">
      <c r="A13" s="168" t="s">
        <v>128</v>
      </c>
      <c r="B13" s="172" t="str">
        <f>商检明细!H5</f>
        <v>{custName}</v>
      </c>
      <c r="C13" s="172"/>
      <c r="D13" s="172"/>
      <c r="E13" s="172"/>
      <c r="F13" s="172"/>
      <c r="G13" s="172"/>
      <c r="H13" s="172"/>
      <c r="I13" s="15"/>
    </row>
    <row r="14" ht="13.5" customHeight="1" spans="1:9">
      <c r="A14" s="170" t="s">
        <v>129</v>
      </c>
      <c r="B14" s="173"/>
      <c r="C14" s="173"/>
      <c r="D14" s="173"/>
      <c r="E14" s="173"/>
      <c r="F14" s="173"/>
      <c r="G14" s="173"/>
      <c r="H14" s="173"/>
      <c r="I14" s="15"/>
    </row>
    <row r="15" ht="10.5" customHeight="1" spans="1:9">
      <c r="A15" s="15"/>
      <c r="B15" s="15"/>
      <c r="C15" s="15"/>
      <c r="D15" s="15"/>
      <c r="E15" s="15"/>
      <c r="F15" s="15"/>
      <c r="G15" s="15"/>
      <c r="H15" s="15"/>
      <c r="I15" s="15"/>
    </row>
    <row r="16" ht="10.5" customHeight="1" spans="1:9">
      <c r="A16" s="168" t="s">
        <v>130</v>
      </c>
      <c r="B16" s="172"/>
      <c r="C16" s="172"/>
      <c r="D16" s="172"/>
      <c r="E16" s="172"/>
      <c r="F16" s="172"/>
      <c r="G16" s="172"/>
      <c r="H16" s="172"/>
      <c r="I16" s="15"/>
    </row>
    <row r="17" ht="12.75" customHeight="1" spans="1:9">
      <c r="A17" s="170" t="s">
        <v>131</v>
      </c>
      <c r="B17" s="173"/>
      <c r="C17" s="173"/>
      <c r="D17" s="173"/>
      <c r="E17" s="173"/>
      <c r="F17" s="173"/>
      <c r="G17" s="173"/>
      <c r="H17" s="173"/>
      <c r="I17" s="15"/>
    </row>
    <row r="18" ht="9.75" customHeight="1" spans="1:9">
      <c r="A18" s="15"/>
      <c r="B18" s="15"/>
      <c r="C18" s="15"/>
      <c r="D18" s="15"/>
      <c r="E18" s="15"/>
      <c r="F18" s="15"/>
      <c r="G18" s="15"/>
      <c r="H18" s="15"/>
      <c r="I18" s="15"/>
    </row>
    <row r="19" ht="11.25" customHeight="1" spans="1:9">
      <c r="A19" s="168" t="s">
        <v>132</v>
      </c>
      <c r="B19" s="172" t="str">
        <f>商检明细!B8</f>
        <v>{transportType}</v>
      </c>
      <c r="C19" s="172"/>
      <c r="D19" s="172"/>
      <c r="E19" s="172"/>
      <c r="F19" s="172"/>
      <c r="G19" s="172"/>
      <c r="H19" s="172"/>
      <c r="I19" s="15"/>
    </row>
    <row r="20" ht="14.25" customHeight="1" spans="1:9">
      <c r="A20" s="170" t="s">
        <v>133</v>
      </c>
      <c r="B20" s="173"/>
      <c r="C20" s="173"/>
      <c r="D20" s="173"/>
      <c r="E20" s="173"/>
      <c r="F20" s="173"/>
      <c r="G20" s="173"/>
      <c r="H20" s="173"/>
      <c r="I20" s="15"/>
    </row>
    <row r="21" spans="1:9">
      <c r="A21" s="15"/>
      <c r="B21" s="15"/>
      <c r="C21" s="15"/>
      <c r="D21" s="15"/>
      <c r="E21" s="15"/>
      <c r="F21" s="15"/>
      <c r="G21" s="15"/>
      <c r="H21" s="15"/>
      <c r="I21" s="15"/>
    </row>
    <row r="22" spans="1:9">
      <c r="A22" s="174"/>
      <c r="B22" s="175" t="s">
        <v>134</v>
      </c>
      <c r="C22" s="175" t="s">
        <v>135</v>
      </c>
      <c r="D22" s="174"/>
      <c r="E22" s="175" t="s">
        <v>136</v>
      </c>
      <c r="F22" s="174"/>
      <c r="G22" s="134" t="s">
        <v>137</v>
      </c>
      <c r="H22" s="134" t="s">
        <v>138</v>
      </c>
      <c r="I22" s="15"/>
    </row>
    <row r="23" spans="1:9">
      <c r="A23" s="176"/>
      <c r="B23" s="177" t="s">
        <v>139</v>
      </c>
      <c r="C23" s="177" t="s">
        <v>140</v>
      </c>
      <c r="D23" s="176"/>
      <c r="E23" s="154" t="s">
        <v>141</v>
      </c>
      <c r="F23" s="138"/>
      <c r="G23" s="190" t="s">
        <v>142</v>
      </c>
      <c r="H23" s="190" t="s">
        <v>143</v>
      </c>
      <c r="I23" s="15"/>
    </row>
    <row r="24" spans="1:9">
      <c r="A24" s="138"/>
      <c r="B24" s="154"/>
      <c r="C24" s="178"/>
      <c r="D24" s="179"/>
      <c r="E24" s="178"/>
      <c r="F24" s="191"/>
      <c r="G24" s="192" t="str">
        <f>商检明细!H6&amp;"  "&amp;商检明细!D8</f>
        <v>{settlementTermType}  {departurePortName}</v>
      </c>
      <c r="H24" s="193"/>
      <c r="I24" s="15"/>
    </row>
    <row r="25" spans="1:9">
      <c r="A25" s="135"/>
      <c r="B25" s="180" t="str">
        <f>商检明细!C17</f>
        <v>{.customsDeclarationNameEng}</v>
      </c>
      <c r="C25" s="181" t="str">
        <f>商检明细!R17</f>
        <v>{.boxCount}</v>
      </c>
      <c r="D25" s="182" t="str">
        <f>商检明细!S17</f>
        <v>{.unitPerOuterbox}</v>
      </c>
      <c r="E25" s="24" t="str">
        <f>商检明细!E17</f>
        <v>{.declarationQuantity}</v>
      </c>
      <c r="F25" s="182" t="str">
        <f>IF(E25=0,"","PCS")</f>
        <v>PCS</v>
      </c>
      <c r="G25" s="158" t="str">
        <f>商检明细!F17</f>
        <v>{.saleUnitPriceAmount}</v>
      </c>
      <c r="H25" s="194" t="str">
        <f>商检明细!G17</f>
        <v>{.saleAmountAmount}</v>
      </c>
      <c r="I25" s="15"/>
    </row>
    <row r="26" spans="1:9">
      <c r="A26" s="135"/>
      <c r="B26" s="180">
        <f>商检明细!C18</f>
        <v>0</v>
      </c>
      <c r="C26" s="181">
        <f>商检明细!R18</f>
        <v>0</v>
      </c>
      <c r="D26" s="182">
        <f>商检明细!S18</f>
        <v>0</v>
      </c>
      <c r="E26" s="24">
        <f>商检明细!E18</f>
        <v>0</v>
      </c>
      <c r="F26" s="182" t="str">
        <f t="shared" ref="F26:F35" si="0">IF(E26=0,"","PCS")</f>
        <v/>
      </c>
      <c r="G26" s="158">
        <f>商检明细!F18</f>
        <v>0</v>
      </c>
      <c r="H26" s="194">
        <f>商检明细!G18</f>
        <v>0</v>
      </c>
      <c r="I26" s="15"/>
    </row>
    <row r="27" spans="1:9">
      <c r="A27" s="135"/>
      <c r="B27" s="180">
        <f>商检明细!C19</f>
        <v>0</v>
      </c>
      <c r="C27" s="181">
        <f>商检明细!R19</f>
        <v>0</v>
      </c>
      <c r="D27" s="182">
        <f>商检明细!S19</f>
        <v>0</v>
      </c>
      <c r="E27" s="24">
        <f>商检明细!E19</f>
        <v>0</v>
      </c>
      <c r="F27" s="182" t="str">
        <f t="shared" si="0"/>
        <v/>
      </c>
      <c r="G27" s="158">
        <f>商检明细!F19</f>
        <v>0</v>
      </c>
      <c r="H27" s="194">
        <f>商检明细!G19</f>
        <v>0</v>
      </c>
      <c r="I27" s="15"/>
    </row>
    <row r="28" spans="1:9">
      <c r="A28" s="135"/>
      <c r="B28" s="180">
        <f>商检明细!C20</f>
        <v>0</v>
      </c>
      <c r="C28" s="181">
        <f>商检明细!R20</f>
        <v>0</v>
      </c>
      <c r="D28" s="182">
        <f>商检明细!S20</f>
        <v>0</v>
      </c>
      <c r="E28" s="24">
        <f>商检明细!E20</f>
        <v>0</v>
      </c>
      <c r="F28" s="182" t="str">
        <f t="shared" si="0"/>
        <v/>
      </c>
      <c r="G28" s="158">
        <f>商检明细!F20</f>
        <v>0</v>
      </c>
      <c r="H28" s="194">
        <f>商检明细!G20</f>
        <v>0</v>
      </c>
      <c r="I28" s="15"/>
    </row>
    <row r="29" spans="1:9">
      <c r="A29" s="135"/>
      <c r="B29" s="180">
        <f>商检明细!C21</f>
        <v>0</v>
      </c>
      <c r="C29" s="181">
        <f>商检明细!R21</f>
        <v>0</v>
      </c>
      <c r="D29" s="182">
        <f>商检明细!S21</f>
        <v>0</v>
      </c>
      <c r="E29" s="24">
        <f>商检明细!E21</f>
        <v>0</v>
      </c>
      <c r="F29" s="182" t="str">
        <f t="shared" si="0"/>
        <v/>
      </c>
      <c r="G29" s="158">
        <f>商检明细!F21</f>
        <v>0</v>
      </c>
      <c r="H29" s="194">
        <f>商检明细!G21</f>
        <v>0</v>
      </c>
      <c r="I29" s="15"/>
    </row>
    <row r="30" spans="1:9">
      <c r="A30" s="135"/>
      <c r="B30" s="180">
        <f>商检明细!C22</f>
        <v>0</v>
      </c>
      <c r="C30" s="181">
        <f>商检明细!R22</f>
        <v>0</v>
      </c>
      <c r="D30" s="182">
        <f>商检明细!S22</f>
        <v>0</v>
      </c>
      <c r="E30" s="24">
        <f>商检明细!E22</f>
        <v>0</v>
      </c>
      <c r="F30" s="182" t="str">
        <f t="shared" si="0"/>
        <v/>
      </c>
      <c r="G30" s="158">
        <f>商检明细!F22</f>
        <v>0</v>
      </c>
      <c r="H30" s="194">
        <f>商检明细!G22</f>
        <v>0</v>
      </c>
      <c r="I30" s="15"/>
    </row>
    <row r="31" spans="1:9">
      <c r="A31" s="135"/>
      <c r="B31" s="180">
        <f>商检明细!C23</f>
        <v>0</v>
      </c>
      <c r="C31" s="181">
        <f>商检明细!R23</f>
        <v>0</v>
      </c>
      <c r="D31" s="182">
        <f>商检明细!S23</f>
        <v>0</v>
      </c>
      <c r="E31" s="24">
        <f>商检明细!E23</f>
        <v>0</v>
      </c>
      <c r="F31" s="182" t="str">
        <f t="shared" si="0"/>
        <v/>
      </c>
      <c r="G31" s="158">
        <f>商检明细!F23</f>
        <v>0</v>
      </c>
      <c r="H31" s="194">
        <f>商检明细!G23</f>
        <v>0</v>
      </c>
      <c r="I31" s="15"/>
    </row>
    <row r="32" spans="1:9">
      <c r="A32" s="135"/>
      <c r="B32" s="180">
        <f>商检明细!C24</f>
        <v>0</v>
      </c>
      <c r="C32" s="181">
        <f>商检明细!R24</f>
        <v>0</v>
      </c>
      <c r="D32" s="182">
        <f>商检明细!S24</f>
        <v>0</v>
      </c>
      <c r="E32" s="24">
        <f>商检明细!E24</f>
        <v>0</v>
      </c>
      <c r="F32" s="182" t="str">
        <f t="shared" si="0"/>
        <v/>
      </c>
      <c r="G32" s="158">
        <f>商检明细!F24</f>
        <v>0</v>
      </c>
      <c r="H32" s="194">
        <f>商检明细!G24</f>
        <v>0</v>
      </c>
      <c r="I32" s="15"/>
    </row>
    <row r="33" spans="1:9">
      <c r="A33" s="135"/>
      <c r="B33" s="180">
        <f>商检明细!C25</f>
        <v>0</v>
      </c>
      <c r="C33" s="181">
        <f>商检明细!R25</f>
        <v>0</v>
      </c>
      <c r="D33" s="182">
        <f>商检明细!S25</f>
        <v>0</v>
      </c>
      <c r="E33" s="24">
        <f>商检明细!E25</f>
        <v>0</v>
      </c>
      <c r="F33" s="182" t="str">
        <f t="shared" si="0"/>
        <v/>
      </c>
      <c r="G33" s="158">
        <f>商检明细!F25</f>
        <v>0</v>
      </c>
      <c r="H33" s="194">
        <f>商检明细!G25</f>
        <v>0</v>
      </c>
      <c r="I33" s="15"/>
    </row>
    <row r="34" spans="1:9">
      <c r="A34" s="183"/>
      <c r="B34" s="180">
        <f>商检明细!C26</f>
        <v>0</v>
      </c>
      <c r="C34" s="181">
        <f>商检明细!R26</f>
        <v>0</v>
      </c>
      <c r="D34" s="182">
        <f>商检明细!S26</f>
        <v>0</v>
      </c>
      <c r="E34" s="24">
        <f>商检明细!E26</f>
        <v>0</v>
      </c>
      <c r="F34" s="182" t="str">
        <f t="shared" si="0"/>
        <v/>
      </c>
      <c r="G34" s="158">
        <f>商检明细!F26</f>
        <v>0</v>
      </c>
      <c r="H34" s="194">
        <f>商检明细!G26</f>
        <v>0</v>
      </c>
      <c r="I34" s="15"/>
    </row>
    <row r="35" spans="1:9">
      <c r="A35" s="183"/>
      <c r="B35" s="180">
        <f>商检明细!C27</f>
        <v>0</v>
      </c>
      <c r="C35" s="181">
        <f>商检明细!R27</f>
        <v>0</v>
      </c>
      <c r="D35" s="182">
        <f>商检明细!S27</f>
        <v>0</v>
      </c>
      <c r="E35" s="24">
        <f>商检明细!E27</f>
        <v>0</v>
      </c>
      <c r="F35" s="182" t="str">
        <f t="shared" si="0"/>
        <v/>
      </c>
      <c r="G35" s="158">
        <f>商检明细!F27</f>
        <v>0</v>
      </c>
      <c r="H35" s="194">
        <f>商检明细!G27</f>
        <v>0</v>
      </c>
      <c r="I35" s="15"/>
    </row>
    <row r="36" ht="16.5" customHeight="1" spans="1:9">
      <c r="A36" s="184"/>
      <c r="B36" s="185" t="s">
        <v>144</v>
      </c>
      <c r="C36" s="149">
        <f>SUM(C25:C35)</f>
        <v>0</v>
      </c>
      <c r="D36" s="186" t="str">
        <f>D25</f>
        <v>{.unitPerOuterbox}</v>
      </c>
      <c r="E36" s="149">
        <f>SUM(E25:E35)</f>
        <v>0</v>
      </c>
      <c r="F36" s="186" t="str">
        <f>F25</f>
        <v>PCS</v>
      </c>
      <c r="G36" s="195"/>
      <c r="H36" s="149">
        <f>SUM(H25:H35)</f>
        <v>0</v>
      </c>
      <c r="I36" s="15"/>
    </row>
    <row r="37" ht="15.75" customHeight="1" spans="1:9">
      <c r="A37" s="187" t="str">
        <f>商检明细!B14</f>
        <v>{frontShippingMark}</v>
      </c>
      <c r="B37" s="187"/>
      <c r="C37" s="15"/>
      <c r="D37" s="15"/>
      <c r="E37" s="136"/>
      <c r="F37" s="136"/>
      <c r="G37" s="136"/>
      <c r="H37" s="168"/>
      <c r="I37" s="15"/>
    </row>
    <row r="38" spans="1:9">
      <c r="A38" s="187"/>
      <c r="B38" s="187"/>
      <c r="C38" s="15"/>
      <c r="D38" s="15"/>
      <c r="E38" s="168"/>
      <c r="F38" s="168"/>
      <c r="G38" s="168"/>
      <c r="H38" s="168"/>
      <c r="I38" s="15"/>
    </row>
    <row r="39" spans="1:9">
      <c r="A39" s="187"/>
      <c r="B39" s="187"/>
      <c r="C39" s="15"/>
      <c r="D39" s="15"/>
      <c r="E39" s="15"/>
      <c r="F39" s="15"/>
      <c r="G39" s="15"/>
      <c r="H39" s="15"/>
      <c r="I39" s="15"/>
    </row>
    <row r="40" spans="1:9">
      <c r="A40" s="187"/>
      <c r="B40" s="187"/>
      <c r="C40" s="15"/>
      <c r="D40" s="15"/>
      <c r="E40" s="15"/>
      <c r="F40" s="15"/>
      <c r="G40" s="15"/>
      <c r="H40" s="15"/>
      <c r="I40" s="15"/>
    </row>
    <row r="41" spans="1:9">
      <c r="A41" s="187"/>
      <c r="B41" s="187"/>
      <c r="C41" s="15"/>
      <c r="D41" s="15"/>
      <c r="E41" s="15"/>
      <c r="F41" s="15"/>
      <c r="G41" s="15"/>
      <c r="H41" s="15"/>
      <c r="I41" s="15"/>
    </row>
    <row r="42" spans="1:9">
      <c r="A42" s="187"/>
      <c r="B42" s="187"/>
      <c r="C42" s="15"/>
      <c r="D42" s="15"/>
      <c r="E42" s="15"/>
      <c r="F42" s="15"/>
      <c r="G42" s="15"/>
      <c r="H42" s="15"/>
      <c r="I42" s="15"/>
    </row>
    <row r="43" spans="1:9">
      <c r="A43" s="187"/>
      <c r="B43" s="187"/>
      <c r="C43" s="15"/>
      <c r="D43" s="15"/>
      <c r="E43" s="15"/>
      <c r="F43" s="15"/>
      <c r="G43" s="15"/>
      <c r="H43" s="15"/>
      <c r="I43" s="15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</sheetData>
  <mergeCells count="19">
    <mergeCell ref="A1:H1"/>
    <mergeCell ref="A2:H2"/>
    <mergeCell ref="A3:H3"/>
    <mergeCell ref="A4:H4"/>
    <mergeCell ref="A5:H5"/>
    <mergeCell ref="C22:D22"/>
    <mergeCell ref="E22:F22"/>
    <mergeCell ref="C23:D23"/>
    <mergeCell ref="E23:F23"/>
    <mergeCell ref="C24:D24"/>
    <mergeCell ref="E37:G37"/>
    <mergeCell ref="B7:B8"/>
    <mergeCell ref="B10:B11"/>
    <mergeCell ref="A37:B43"/>
    <mergeCell ref="G10:H11"/>
    <mergeCell ref="B13:H14"/>
    <mergeCell ref="B16:H17"/>
    <mergeCell ref="B19:H20"/>
    <mergeCell ref="G7:H8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topLeftCell="A9" workbookViewId="0">
      <selection activeCell="L32" sqref="L32"/>
    </sheetView>
  </sheetViews>
  <sheetFormatPr defaultColWidth="9.125" defaultRowHeight="17.6"/>
  <cols>
    <col min="1" max="1" width="12.25" style="6" customWidth="1"/>
    <col min="2" max="2" width="25.375" style="6" customWidth="1"/>
    <col min="3" max="3" width="5.75" style="6" customWidth="1"/>
    <col min="4" max="4" width="5.375" style="6" customWidth="1"/>
    <col min="5" max="5" width="7.25" style="6" customWidth="1"/>
    <col min="6" max="6" width="4.5" style="6" customWidth="1"/>
    <col min="7" max="8" width="9" style="6"/>
    <col min="9" max="9" width="10" style="120"/>
    <col min="10" max="32" width="9" style="6"/>
    <col min="33" max="16384" width="9.125" style="6"/>
  </cols>
  <sheetData>
    <row r="1" ht="34.4" spans="1:9">
      <c r="A1" s="121" t="str">
        <f>商检明细!B13</f>
        <v>{companyTitle}</v>
      </c>
      <c r="B1" s="121"/>
      <c r="C1" s="121"/>
      <c r="D1" s="121"/>
      <c r="E1" s="121"/>
      <c r="F1" s="121"/>
      <c r="G1" s="121"/>
      <c r="H1" s="121"/>
      <c r="I1" s="160"/>
    </row>
    <row r="2" ht="23.2" spans="1:9">
      <c r="A2" s="122" t="e">
        <f>VLOOKUP(A1,资料!A3:D8,2,0)</f>
        <v>#N/A</v>
      </c>
      <c r="B2" s="122"/>
      <c r="C2" s="122"/>
      <c r="D2" s="122"/>
      <c r="E2" s="122"/>
      <c r="F2" s="122"/>
      <c r="G2" s="122"/>
      <c r="H2" s="122"/>
      <c r="I2" s="161"/>
    </row>
    <row r="3" spans="1:9">
      <c r="A3" s="123" t="e">
        <f>VLOOKUP(A1,资料!A3:D8,3,0)</f>
        <v>#N/A</v>
      </c>
      <c r="B3" s="123"/>
      <c r="C3" s="123"/>
      <c r="D3" s="123"/>
      <c r="E3" s="123"/>
      <c r="F3" s="123"/>
      <c r="G3" s="123"/>
      <c r="H3" s="123"/>
      <c r="I3" s="162"/>
    </row>
    <row r="4" spans="1:1">
      <c r="A4" s="124"/>
    </row>
    <row r="5" ht="20.4" spans="1:9">
      <c r="A5" s="125" t="s">
        <v>145</v>
      </c>
      <c r="B5" s="125"/>
      <c r="C5" s="125"/>
      <c r="D5" s="125"/>
      <c r="E5" s="125"/>
      <c r="F5" s="125"/>
      <c r="G5" s="125"/>
      <c r="H5" s="125"/>
      <c r="I5" s="163"/>
    </row>
    <row r="6" spans="1:9">
      <c r="A6" s="126" t="s">
        <v>120</v>
      </c>
      <c r="B6" s="127"/>
      <c r="F6" s="150" t="s">
        <v>121</v>
      </c>
      <c r="G6" s="150"/>
      <c r="H6" s="127" t="str">
        <f>商检明细!B3</f>
        <v>{invoiceCode}</v>
      </c>
      <c r="I6" s="164"/>
    </row>
    <row r="7" ht="14.25" customHeight="1" spans="1:9">
      <c r="A7" s="128" t="s">
        <v>122</v>
      </c>
      <c r="B7" s="129"/>
      <c r="F7" s="151" t="s">
        <v>123</v>
      </c>
      <c r="G7" s="151"/>
      <c r="H7" s="129"/>
      <c r="I7" s="165"/>
    </row>
    <row r="8" spans="1:9">
      <c r="A8" s="126" t="s">
        <v>124</v>
      </c>
      <c r="B8" s="130" t="str">
        <f>商检明细!B5</f>
        <v>{saleContractCode}</v>
      </c>
      <c r="F8" s="150" t="s">
        <v>125</v>
      </c>
      <c r="G8" s="150"/>
      <c r="H8" s="152" t="str">
        <f>LEFT(商检明细!F3,10)</f>
        <v>{inputDate</v>
      </c>
      <c r="I8" s="166"/>
    </row>
    <row r="9" spans="1:9">
      <c r="A9" s="128" t="s">
        <v>126</v>
      </c>
      <c r="B9" s="131"/>
      <c r="F9" s="151" t="s">
        <v>127</v>
      </c>
      <c r="G9" s="151"/>
      <c r="H9" s="129"/>
      <c r="I9" s="165"/>
    </row>
    <row r="10" ht="12.75" customHeight="1" spans="1:9">
      <c r="A10" s="126" t="s">
        <v>128</v>
      </c>
      <c r="B10" s="127" t="str">
        <f>商检明细!H5</f>
        <v>{custName}</v>
      </c>
      <c r="C10" s="127"/>
      <c r="D10" s="127"/>
      <c r="E10" s="127"/>
      <c r="F10" s="127"/>
      <c r="G10" s="127"/>
      <c r="H10" s="127"/>
      <c r="I10" s="164"/>
    </row>
    <row r="11" spans="1:9">
      <c r="A11" s="128" t="s">
        <v>129</v>
      </c>
      <c r="B11" s="129"/>
      <c r="C11" s="129"/>
      <c r="D11" s="129"/>
      <c r="E11" s="129"/>
      <c r="F11" s="129"/>
      <c r="G11" s="129"/>
      <c r="H11" s="129"/>
      <c r="I11" s="165"/>
    </row>
    <row r="12" ht="12.75" customHeight="1" spans="1:9">
      <c r="A12" s="126" t="s">
        <v>130</v>
      </c>
      <c r="B12" s="132"/>
      <c r="C12" s="132"/>
      <c r="D12" s="132"/>
      <c r="E12" s="132"/>
      <c r="F12" s="132"/>
      <c r="G12" s="132"/>
      <c r="H12" s="132"/>
      <c r="I12" s="166"/>
    </row>
    <row r="13" ht="12" customHeight="1" spans="1:9">
      <c r="A13" s="128" t="s">
        <v>131</v>
      </c>
      <c r="B13" s="129"/>
      <c r="C13" s="129"/>
      <c r="D13" s="129"/>
      <c r="E13" s="129"/>
      <c r="F13" s="129"/>
      <c r="G13" s="129"/>
      <c r="H13" s="129"/>
      <c r="I13" s="165"/>
    </row>
    <row r="14" spans="1:9">
      <c r="A14" s="126" t="s">
        <v>132</v>
      </c>
      <c r="B14" s="132" t="s">
        <v>146</v>
      </c>
      <c r="C14" s="132"/>
      <c r="D14" s="132"/>
      <c r="E14" s="132"/>
      <c r="F14" s="132"/>
      <c r="G14" s="132"/>
      <c r="H14" s="132"/>
      <c r="I14" s="166"/>
    </row>
    <row r="15" spans="1:9">
      <c r="A15" s="133" t="s">
        <v>133</v>
      </c>
      <c r="B15" s="129"/>
      <c r="C15" s="129"/>
      <c r="D15" s="129"/>
      <c r="E15" s="129"/>
      <c r="F15" s="129"/>
      <c r="G15" s="129"/>
      <c r="H15" s="129"/>
      <c r="I15" s="165"/>
    </row>
    <row r="16" spans="1:9">
      <c r="A16" s="134"/>
      <c r="B16" s="135" t="s">
        <v>134</v>
      </c>
      <c r="C16" s="136" t="s">
        <v>135</v>
      </c>
      <c r="D16" s="136"/>
      <c r="E16" s="136" t="s">
        <v>136</v>
      </c>
      <c r="F16" s="136"/>
      <c r="G16" s="135" t="s">
        <v>147</v>
      </c>
      <c r="H16" s="153" t="s">
        <v>148</v>
      </c>
      <c r="I16" s="153" t="s">
        <v>149</v>
      </c>
    </row>
    <row r="17" spans="1:9">
      <c r="A17" s="137"/>
      <c r="B17" s="138" t="s">
        <v>139</v>
      </c>
      <c r="C17" s="139" t="s">
        <v>140</v>
      </c>
      <c r="D17" s="139"/>
      <c r="E17" s="154" t="s">
        <v>141</v>
      </c>
      <c r="F17" s="138"/>
      <c r="G17" s="137" t="s">
        <v>150</v>
      </c>
      <c r="H17" s="137" t="s">
        <v>151</v>
      </c>
      <c r="I17" s="137" t="s">
        <v>152</v>
      </c>
    </row>
    <row r="18" spans="1:9">
      <c r="A18" s="140"/>
      <c r="B18" s="141"/>
      <c r="C18" s="142"/>
      <c r="D18" s="142"/>
      <c r="E18" s="155"/>
      <c r="F18" s="141"/>
      <c r="G18" s="156" t="s">
        <v>153</v>
      </c>
      <c r="H18" s="157" t="s">
        <v>153</v>
      </c>
      <c r="I18" s="156" t="s">
        <v>154</v>
      </c>
    </row>
    <row r="19" spans="1:9">
      <c r="A19" s="143"/>
      <c r="B19" s="134"/>
      <c r="C19" s="136"/>
      <c r="D19" s="136"/>
      <c r="E19" s="144"/>
      <c r="F19" s="135"/>
      <c r="G19" s="153"/>
      <c r="H19" s="158"/>
      <c r="I19" s="134"/>
    </row>
    <row r="20" spans="1:9">
      <c r="A20" s="144"/>
      <c r="B20" s="145" t="str">
        <f>商检明细!C17</f>
        <v>{.customsDeclarationNameEng}</v>
      </c>
      <c r="C20" s="24" t="str">
        <f>商检明细!R17</f>
        <v>{.boxCount}</v>
      </c>
      <c r="D20" s="146" t="str">
        <f>商检明细!S17</f>
        <v>{.unitPerOuterbox}</v>
      </c>
      <c r="E20" s="159" t="str">
        <f>商检明细!E17</f>
        <v>{.declarationQuantity}</v>
      </c>
      <c r="F20" s="159" t="str">
        <f>IF(E20=0,"","PCS")</f>
        <v>PCS</v>
      </c>
      <c r="G20" s="153" t="str">
        <f>商检明细!W17</f>
        <v>{.totalGrossweightWeight}</v>
      </c>
      <c r="H20" s="153" t="str">
        <f>商检明细!Y17</f>
        <v>{.totalNetweightWeight}</v>
      </c>
      <c r="I20" s="153" t="str">
        <f>商检明细!U17</f>
        <v>{.totalVolume}</v>
      </c>
    </row>
    <row r="21" spans="1:9">
      <c r="A21" s="144"/>
      <c r="B21" s="145">
        <f>商检明细!C18</f>
        <v>0</v>
      </c>
      <c r="C21" s="24">
        <f>商检明细!R18</f>
        <v>0</v>
      </c>
      <c r="D21" s="146">
        <f>商检明细!S18</f>
        <v>0</v>
      </c>
      <c r="E21" s="159">
        <f>商检明细!E18</f>
        <v>0</v>
      </c>
      <c r="F21" s="159" t="str">
        <f t="shared" ref="F21:F30" si="0">IF(E21=0,"","PCS")</f>
        <v/>
      </c>
      <c r="G21" s="153">
        <f>商检明细!W18</f>
        <v>0</v>
      </c>
      <c r="H21" s="153">
        <f>商检明细!Y18</f>
        <v>0</v>
      </c>
      <c r="I21" s="153">
        <f>商检明细!U18</f>
        <v>0</v>
      </c>
    </row>
    <row r="22" spans="1:9">
      <c r="A22" s="144"/>
      <c r="B22" s="145">
        <f>商检明细!C19</f>
        <v>0</v>
      </c>
      <c r="C22" s="24">
        <f>商检明细!R19</f>
        <v>0</v>
      </c>
      <c r="D22" s="146">
        <f>商检明细!S19</f>
        <v>0</v>
      </c>
      <c r="E22" s="159">
        <f>商检明细!E19</f>
        <v>0</v>
      </c>
      <c r="F22" s="159" t="str">
        <f t="shared" si="0"/>
        <v/>
      </c>
      <c r="G22" s="153">
        <f>商检明细!W19</f>
        <v>0</v>
      </c>
      <c r="H22" s="153">
        <f>商检明细!Y19</f>
        <v>0</v>
      </c>
      <c r="I22" s="153">
        <f>商检明细!U19</f>
        <v>0</v>
      </c>
    </row>
    <row r="23" spans="1:9">
      <c r="A23" s="144"/>
      <c r="B23" s="145">
        <f>商检明细!C20</f>
        <v>0</v>
      </c>
      <c r="C23" s="24">
        <f>商检明细!R20</f>
        <v>0</v>
      </c>
      <c r="D23" s="146">
        <f>商检明细!S20</f>
        <v>0</v>
      </c>
      <c r="E23" s="159">
        <f>商检明细!E20</f>
        <v>0</v>
      </c>
      <c r="F23" s="159" t="str">
        <f t="shared" si="0"/>
        <v/>
      </c>
      <c r="G23" s="153">
        <f>商检明细!W20</f>
        <v>0</v>
      </c>
      <c r="H23" s="153">
        <f>商检明细!Y20</f>
        <v>0</v>
      </c>
      <c r="I23" s="153">
        <f>商检明细!U20</f>
        <v>0</v>
      </c>
    </row>
    <row r="24" spans="1:9">
      <c r="A24" s="144"/>
      <c r="B24" s="145">
        <f>商检明细!C21</f>
        <v>0</v>
      </c>
      <c r="C24" s="24">
        <f>商检明细!R21</f>
        <v>0</v>
      </c>
      <c r="D24" s="146">
        <f>商检明细!S21</f>
        <v>0</v>
      </c>
      <c r="E24" s="159">
        <f>商检明细!E21</f>
        <v>0</v>
      </c>
      <c r="F24" s="159" t="str">
        <f t="shared" si="0"/>
        <v/>
      </c>
      <c r="G24" s="153">
        <f>商检明细!W21</f>
        <v>0</v>
      </c>
      <c r="H24" s="153">
        <f>商检明细!Y21</f>
        <v>0</v>
      </c>
      <c r="I24" s="153">
        <f>商检明细!U21</f>
        <v>0</v>
      </c>
    </row>
    <row r="25" spans="1:9">
      <c r="A25" s="144"/>
      <c r="B25" s="145">
        <f>商检明细!C22</f>
        <v>0</v>
      </c>
      <c r="C25" s="24">
        <f>商检明细!R22</f>
        <v>0</v>
      </c>
      <c r="D25" s="146">
        <f>商检明细!S22</f>
        <v>0</v>
      </c>
      <c r="E25" s="159">
        <f>商检明细!E22</f>
        <v>0</v>
      </c>
      <c r="F25" s="159" t="str">
        <f t="shared" si="0"/>
        <v/>
      </c>
      <c r="G25" s="153">
        <f>商检明细!W22</f>
        <v>0</v>
      </c>
      <c r="H25" s="153">
        <f>商检明细!Y22</f>
        <v>0</v>
      </c>
      <c r="I25" s="153">
        <f>商检明细!U22</f>
        <v>0</v>
      </c>
    </row>
    <row r="26" spans="1:9">
      <c r="A26" s="144"/>
      <c r="B26" s="145">
        <f>商检明细!C23</f>
        <v>0</v>
      </c>
      <c r="C26" s="24">
        <f>商检明细!R23</f>
        <v>0</v>
      </c>
      <c r="D26" s="146">
        <f>商检明细!S23</f>
        <v>0</v>
      </c>
      <c r="E26" s="159">
        <f>商检明细!E23</f>
        <v>0</v>
      </c>
      <c r="F26" s="159" t="str">
        <f t="shared" si="0"/>
        <v/>
      </c>
      <c r="G26" s="153">
        <f>商检明细!W23</f>
        <v>0</v>
      </c>
      <c r="H26" s="153">
        <f>商检明细!Y23</f>
        <v>0</v>
      </c>
      <c r="I26" s="153">
        <f>商检明细!U23</f>
        <v>0</v>
      </c>
    </row>
    <row r="27" spans="1:9">
      <c r="A27" s="144"/>
      <c r="B27" s="145">
        <f>商检明细!C24</f>
        <v>0</v>
      </c>
      <c r="C27" s="24">
        <f>商检明细!R24</f>
        <v>0</v>
      </c>
      <c r="D27" s="146">
        <f>商检明细!S24</f>
        <v>0</v>
      </c>
      <c r="E27" s="159">
        <f>商检明细!E24</f>
        <v>0</v>
      </c>
      <c r="F27" s="159" t="str">
        <f t="shared" si="0"/>
        <v/>
      </c>
      <c r="G27" s="153">
        <f>商检明细!W24</f>
        <v>0</v>
      </c>
      <c r="H27" s="153">
        <f>商检明细!Y24</f>
        <v>0</v>
      </c>
      <c r="I27" s="153">
        <f>商检明细!U24</f>
        <v>0</v>
      </c>
    </row>
    <row r="28" spans="1:9">
      <c r="A28" s="144"/>
      <c r="B28" s="145">
        <f>商检明细!C25</f>
        <v>0</v>
      </c>
      <c r="C28" s="24">
        <f>商检明细!R25</f>
        <v>0</v>
      </c>
      <c r="D28" s="146">
        <f>商检明细!S25</f>
        <v>0</v>
      </c>
      <c r="E28" s="159">
        <f>商检明细!E25</f>
        <v>0</v>
      </c>
      <c r="F28" s="159" t="str">
        <f t="shared" si="0"/>
        <v/>
      </c>
      <c r="G28" s="153">
        <f>商检明细!W25</f>
        <v>0</v>
      </c>
      <c r="H28" s="153">
        <f>商检明细!Y25</f>
        <v>0</v>
      </c>
      <c r="I28" s="153">
        <f>商检明细!U25</f>
        <v>0</v>
      </c>
    </row>
    <row r="29" spans="1:9">
      <c r="A29" s="143"/>
      <c r="B29" s="145">
        <f>商检明细!C26</f>
        <v>0</v>
      </c>
      <c r="C29" s="24">
        <f>商检明细!R26</f>
        <v>0</v>
      </c>
      <c r="D29" s="146">
        <f>商检明细!S26</f>
        <v>0</v>
      </c>
      <c r="E29" s="159">
        <f>商检明细!E26</f>
        <v>0</v>
      </c>
      <c r="F29" s="159" t="str">
        <f t="shared" si="0"/>
        <v/>
      </c>
      <c r="G29" s="153">
        <f>商检明细!W26</f>
        <v>0</v>
      </c>
      <c r="H29" s="153">
        <f>商检明细!Y26</f>
        <v>0</v>
      </c>
      <c r="I29" s="153">
        <f>商检明细!U26</f>
        <v>0</v>
      </c>
    </row>
    <row r="30" spans="1:9">
      <c r="A30" s="147"/>
      <c r="B30" s="145">
        <f>商检明细!C27</f>
        <v>0</v>
      </c>
      <c r="C30" s="24">
        <f>商检明细!R27</f>
        <v>0</v>
      </c>
      <c r="D30" s="146">
        <f>商检明细!S27</f>
        <v>0</v>
      </c>
      <c r="E30" s="159">
        <f>商检明细!E27</f>
        <v>0</v>
      </c>
      <c r="F30" s="159" t="str">
        <f t="shared" si="0"/>
        <v/>
      </c>
      <c r="G30" s="153">
        <f>商检明细!W27</f>
        <v>0</v>
      </c>
      <c r="H30" s="153">
        <f>商检明细!Y27</f>
        <v>0</v>
      </c>
      <c r="I30" s="153">
        <f>商检明细!U27</f>
        <v>0</v>
      </c>
    </row>
    <row r="31" spans="1:9">
      <c r="A31" s="148"/>
      <c r="B31" s="148" t="s">
        <v>144</v>
      </c>
      <c r="C31" s="148">
        <f t="shared" ref="C31:I31" si="1">SUM(C20:C30)</f>
        <v>0</v>
      </c>
      <c r="D31" s="149" t="str">
        <f>D20</f>
        <v>{.unitPerOuterbox}</v>
      </c>
      <c r="E31" s="148">
        <f t="shared" si="1"/>
        <v>0</v>
      </c>
      <c r="F31" s="149" t="str">
        <f>F20</f>
        <v>PCS</v>
      </c>
      <c r="G31" s="148">
        <f t="shared" si="1"/>
        <v>0</v>
      </c>
      <c r="H31" s="148">
        <f t="shared" si="1"/>
        <v>0</v>
      </c>
      <c r="I31" s="148">
        <f t="shared" si="1"/>
        <v>0</v>
      </c>
    </row>
    <row r="34" spans="1:2">
      <c r="A34" s="3" t="str">
        <f>商检明细!B14</f>
        <v>{frontShippingMark}</v>
      </c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A34:B42"/>
    <mergeCell ref="B14:I15"/>
    <mergeCell ref="H6:I7"/>
    <mergeCell ref="H8:I9"/>
    <mergeCell ref="B10:I11"/>
    <mergeCell ref="B12:I13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topLeftCell="A15" workbookViewId="0">
      <selection activeCell="U34" sqref="U34"/>
    </sheetView>
  </sheetViews>
  <sheetFormatPr defaultColWidth="9.125" defaultRowHeight="17.6"/>
  <cols>
    <col min="1" max="1" width="6.5" style="45" customWidth="1"/>
    <col min="2" max="2" width="13.125" style="45"/>
    <col min="3" max="3" width="10.5" style="45"/>
    <col min="4" max="4" width="18.625" style="45" customWidth="1"/>
    <col min="5" max="5" width="9.375" style="45" customWidth="1"/>
    <col min="6" max="6" width="6.75" style="45" customWidth="1"/>
    <col min="7" max="7" width="11" style="45" customWidth="1"/>
    <col min="8" max="8" width="11.25" style="45" customWidth="1"/>
    <col min="9" max="9" width="10.5" style="45"/>
    <col min="10" max="10" width="11.25" style="45" customWidth="1"/>
    <col min="11" max="11" width="14" style="45" customWidth="1"/>
    <col min="12" max="12" width="9.625" style="45" customWidth="1"/>
    <col min="13" max="13" width="10.5" style="45"/>
    <col min="14" max="14" width="9.75" style="45" customWidth="1"/>
    <col min="15" max="15" width="2.25" style="45" customWidth="1"/>
    <col min="16" max="18" width="9" style="45" hidden="1" customWidth="1"/>
    <col min="19" max="32" width="9" style="45"/>
    <col min="33" max="16384" width="9.125" style="45"/>
  </cols>
  <sheetData>
    <row r="1" ht="51.75" customHeight="1" spans="1:15">
      <c r="A1" s="46" t="s">
        <v>155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105"/>
    </row>
    <row r="2" s="43" customFormat="1" ht="19.5" customHeight="1" spans="1:15">
      <c r="A2" s="47" t="s">
        <v>156</v>
      </c>
      <c r="B2" s="47"/>
      <c r="C2" s="48"/>
      <c r="D2" s="48" t="s">
        <v>157</v>
      </c>
      <c r="E2" s="48"/>
      <c r="F2" s="47"/>
      <c r="G2" s="48"/>
      <c r="H2" s="48"/>
      <c r="I2" s="48" t="s">
        <v>158</v>
      </c>
      <c r="J2" s="48"/>
      <c r="K2" s="47"/>
      <c r="L2" s="47"/>
      <c r="M2" s="47"/>
      <c r="N2" s="47"/>
      <c r="O2" s="82"/>
    </row>
    <row r="3" s="43" customFormat="1" ht="17.25" customHeight="1" spans="1:15">
      <c r="A3" s="49" t="s">
        <v>159</v>
      </c>
      <c r="B3" s="50"/>
      <c r="C3" s="50"/>
      <c r="D3" s="50"/>
      <c r="E3" s="50"/>
      <c r="F3" s="55"/>
      <c r="G3" s="49" t="s">
        <v>160</v>
      </c>
      <c r="H3" s="84"/>
      <c r="I3" s="49" t="s">
        <v>161</v>
      </c>
      <c r="J3" s="92"/>
      <c r="K3" s="89" t="s">
        <v>162</v>
      </c>
      <c r="L3" s="49" t="s">
        <v>163</v>
      </c>
      <c r="M3" s="50"/>
      <c r="N3" s="55"/>
      <c r="O3" s="82"/>
    </row>
    <row r="4" s="43" customFormat="1" ht="23.25" customHeight="1" spans="1:15">
      <c r="A4" s="51" t="e">
        <f>VLOOKUP(D4,资料!A3:G8,7,0)</f>
        <v>#N/A</v>
      </c>
      <c r="B4" s="52"/>
      <c r="C4" s="53" t="e">
        <f>VLOOKUP(D4,资料!A3:G8,6,0)</f>
        <v>#N/A</v>
      </c>
      <c r="D4" s="53" t="str">
        <f>商检明细!B13</f>
        <v>{companyTitle}</v>
      </c>
      <c r="E4" s="85"/>
      <c r="F4" s="86"/>
      <c r="G4" s="54" t="s">
        <v>164</v>
      </c>
      <c r="H4" s="86"/>
      <c r="I4" s="93" t="str">
        <f>LEFT(商检明细!H4,10)</f>
        <v>{shipDate}</v>
      </c>
      <c r="J4" s="86"/>
      <c r="K4" s="94" t="s">
        <v>13</v>
      </c>
      <c r="L4" s="53" t="s">
        <v>13</v>
      </c>
      <c r="M4" s="53"/>
      <c r="N4" s="87"/>
      <c r="O4" s="82"/>
    </row>
    <row r="5" s="43" customFormat="1" ht="17.25" customHeight="1" spans="1:15">
      <c r="A5" s="49" t="s">
        <v>165</v>
      </c>
      <c r="B5" s="50"/>
      <c r="C5" s="50"/>
      <c r="D5" s="50"/>
      <c r="E5" s="50"/>
      <c r="F5" s="55"/>
      <c r="G5" s="49" t="s">
        <v>39</v>
      </c>
      <c r="H5" s="55"/>
      <c r="I5" s="49" t="s">
        <v>166</v>
      </c>
      <c r="J5" s="55"/>
      <c r="K5" s="49" t="s">
        <v>167</v>
      </c>
      <c r="L5" s="50"/>
      <c r="M5" s="50"/>
      <c r="N5" s="55"/>
      <c r="O5" s="82"/>
    </row>
    <row r="6" s="43" customFormat="1" ht="23.25" customHeight="1" spans="1:15">
      <c r="A6" s="54" t="str">
        <f>商检明细!D6</f>
        <v>{tradeCountryName}</v>
      </c>
      <c r="B6" s="53"/>
      <c r="C6" s="53"/>
      <c r="D6" s="53"/>
      <c r="E6" s="53"/>
      <c r="F6" s="87"/>
      <c r="G6" s="54" t="str">
        <f>商检明细!B8</f>
        <v>{transportType}</v>
      </c>
      <c r="H6" s="87"/>
      <c r="I6" s="53" t="s">
        <v>13</v>
      </c>
      <c r="J6" s="87"/>
      <c r="K6" s="54" t="s">
        <v>13</v>
      </c>
      <c r="L6" s="53"/>
      <c r="M6" s="53"/>
      <c r="N6" s="87"/>
      <c r="O6" s="82"/>
    </row>
    <row r="7" s="43" customFormat="1" ht="16.5" customHeight="1" spans="1:15">
      <c r="A7" s="49" t="s">
        <v>168</v>
      </c>
      <c r="B7" s="50"/>
      <c r="C7" s="50"/>
      <c r="D7" s="50"/>
      <c r="E7" s="50"/>
      <c r="F7" s="55"/>
      <c r="G7" s="49" t="s">
        <v>169</v>
      </c>
      <c r="H7" s="55"/>
      <c r="I7" s="49" t="s">
        <v>170</v>
      </c>
      <c r="J7" s="55"/>
      <c r="K7" s="49" t="s">
        <v>171</v>
      </c>
      <c r="L7" s="50"/>
      <c r="M7" s="50"/>
      <c r="N7" s="55"/>
      <c r="O7" s="82"/>
    </row>
    <row r="8" s="43" customFormat="1" ht="23.25" customHeight="1" spans="1:15">
      <c r="A8" s="51" t="e">
        <f>VLOOKUP(D8,资料!A3:G8,7,0)</f>
        <v>#N/A</v>
      </c>
      <c r="B8" s="52"/>
      <c r="C8" s="53" t="e">
        <f>VLOOKUP(D8,资料!A3:G8,6,0)</f>
        <v>#N/A</v>
      </c>
      <c r="D8" s="53" t="str">
        <f>商检明细!B13</f>
        <v>{companyTitle}</v>
      </c>
      <c r="E8" s="85"/>
      <c r="F8" s="86"/>
      <c r="G8" s="54" t="str">
        <f>商检明细!H6</f>
        <v>{settlementTermType}</v>
      </c>
      <c r="H8" s="53"/>
      <c r="I8" s="95" t="s">
        <v>172</v>
      </c>
      <c r="J8" s="96"/>
      <c r="K8" s="54" t="s">
        <v>13</v>
      </c>
      <c r="L8" s="53"/>
      <c r="M8" s="53"/>
      <c r="N8" s="87"/>
      <c r="O8" s="82"/>
    </row>
    <row r="9" s="43" customFormat="1" ht="16.5" customHeight="1" spans="1:15">
      <c r="A9" s="49" t="s">
        <v>173</v>
      </c>
      <c r="B9" s="50"/>
      <c r="C9" s="55"/>
      <c r="D9" s="49" t="s">
        <v>174</v>
      </c>
      <c r="E9" s="50"/>
      <c r="F9" s="55"/>
      <c r="G9" s="49" t="s">
        <v>175</v>
      </c>
      <c r="H9" s="50"/>
      <c r="I9" s="50"/>
      <c r="J9" s="55"/>
      <c r="K9" s="89" t="s">
        <v>176</v>
      </c>
      <c r="L9" s="50" t="s">
        <v>177</v>
      </c>
      <c r="M9" s="50"/>
      <c r="N9" s="55"/>
      <c r="O9" s="82"/>
    </row>
    <row r="10" s="43" customFormat="1" ht="13.6" spans="1:15">
      <c r="A10" s="56" t="str">
        <f>商检明细!B5</f>
        <v>{saleContractCode}</v>
      </c>
      <c r="B10" s="57"/>
      <c r="C10" s="58"/>
      <c r="D10" s="59" t="str">
        <f>商检明细!D6</f>
        <v>{tradeCountryName}</v>
      </c>
      <c r="E10" s="82"/>
      <c r="F10" s="88"/>
      <c r="G10" s="56" t="str">
        <f>商检明细!D6</f>
        <v>{tradeCountryName}</v>
      </c>
      <c r="H10" s="57"/>
      <c r="I10" s="57"/>
      <c r="J10" s="58"/>
      <c r="K10" s="97" t="str">
        <f>商检明细!F8</f>
        <v>{destinationPortName}</v>
      </c>
      <c r="L10" s="82" t="str">
        <f>商检明细!D8</f>
        <v>{departurePortName}</v>
      </c>
      <c r="M10" s="82"/>
      <c r="N10" s="88"/>
      <c r="O10" s="82"/>
    </row>
    <row r="11" s="43" customFormat="1" ht="13.6" spans="1:15">
      <c r="A11" s="49" t="s">
        <v>178</v>
      </c>
      <c r="B11" s="55"/>
      <c r="C11" s="55" t="s">
        <v>179</v>
      </c>
      <c r="D11" s="60" t="s">
        <v>180</v>
      </c>
      <c r="E11" s="49" t="s">
        <v>181</v>
      </c>
      <c r="F11" s="55"/>
      <c r="G11" s="89" t="s">
        <v>182</v>
      </c>
      <c r="H11" s="89" t="s">
        <v>183</v>
      </c>
      <c r="I11" s="49" t="s">
        <v>184</v>
      </c>
      <c r="J11" s="55"/>
      <c r="K11" s="49" t="s">
        <v>185</v>
      </c>
      <c r="L11" s="55"/>
      <c r="M11" s="49" t="s">
        <v>186</v>
      </c>
      <c r="N11" s="55"/>
      <c r="O11" s="82"/>
    </row>
    <row r="12" s="43" customFormat="1" ht="13.6" spans="1:15">
      <c r="A12" s="61" t="s">
        <v>187</v>
      </c>
      <c r="B12" s="62"/>
      <c r="C12" s="63" t="str">
        <f>商检明细!D10&amp;"CTNS"</f>
        <v>{totalBoxes}CTNS</v>
      </c>
      <c r="D12" s="64" t="s">
        <v>188</v>
      </c>
      <c r="E12" s="64" t="str">
        <f>商检明细!F10</f>
        <v>{totalGrossweight}</v>
      </c>
      <c r="F12" s="63"/>
      <c r="G12" s="64" t="str">
        <f>商检明细!H10</f>
        <v>{totalWeight}</v>
      </c>
      <c r="H12" s="64" t="str">
        <f>商检明细!F6</f>
        <v>{tradeType}</v>
      </c>
      <c r="I12" s="98"/>
      <c r="J12" s="99"/>
      <c r="K12" s="98"/>
      <c r="L12" s="99"/>
      <c r="M12" s="98"/>
      <c r="N12" s="99"/>
      <c r="O12" s="82"/>
    </row>
    <row r="13" s="43" customFormat="1" ht="16.5" customHeight="1" spans="1:15">
      <c r="A13" s="49" t="s">
        <v>189</v>
      </c>
      <c r="B13" s="50"/>
      <c r="C13" s="50"/>
      <c r="D13" s="50"/>
      <c r="E13" s="48"/>
      <c r="F13" s="48"/>
      <c r="G13" s="48"/>
      <c r="H13" s="48"/>
      <c r="I13" s="48"/>
      <c r="J13" s="48"/>
      <c r="K13" s="48"/>
      <c r="L13" s="48"/>
      <c r="M13" s="48"/>
      <c r="N13" s="106"/>
      <c r="O13" s="82"/>
    </row>
    <row r="14" s="43" customFormat="1" ht="20.25" customHeight="1" spans="1:15">
      <c r="A14" s="65" t="s">
        <v>13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07"/>
      <c r="O14" s="82"/>
    </row>
    <row r="15" s="43" customFormat="1" ht="16.5" customHeight="1" spans="1:15">
      <c r="A15" s="49" t="s">
        <v>190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5"/>
      <c r="O15" s="82"/>
    </row>
    <row r="16" s="43" customFormat="1" ht="62.25" customHeight="1" spans="1:17">
      <c r="A16" s="66" t="s">
        <v>13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108"/>
      <c r="O16" s="109"/>
      <c r="P16" s="110"/>
      <c r="Q16" s="110"/>
    </row>
    <row r="17" s="43" customFormat="1" ht="21" customHeight="1" spans="1:15">
      <c r="A17" s="68" t="s">
        <v>191</v>
      </c>
      <c r="B17" s="68" t="s">
        <v>192</v>
      </c>
      <c r="C17" s="69" t="s">
        <v>193</v>
      </c>
      <c r="D17" s="70"/>
      <c r="E17" s="68" t="s">
        <v>73</v>
      </c>
      <c r="F17" s="68" t="s">
        <v>194</v>
      </c>
      <c r="G17" s="68" t="s">
        <v>195</v>
      </c>
      <c r="H17" s="68" t="s">
        <v>196</v>
      </c>
      <c r="I17" s="68" t="s">
        <v>197</v>
      </c>
      <c r="J17" s="68" t="s">
        <v>198</v>
      </c>
      <c r="K17" s="68" t="s">
        <v>199</v>
      </c>
      <c r="L17" s="68" t="s">
        <v>200</v>
      </c>
      <c r="M17" s="69" t="s">
        <v>201</v>
      </c>
      <c r="N17" s="70"/>
      <c r="O17" s="111"/>
    </row>
    <row r="18" s="43" customFormat="1" ht="14.25" customHeight="1" spans="1:15">
      <c r="A18" s="71">
        <v>1</v>
      </c>
      <c r="B18" s="72" t="str">
        <f>INDEX(商检明细!$A$17:$V$82,A18,12)</f>
        <v>{.hscode}</v>
      </c>
      <c r="C18" s="73" t="str">
        <f>INDEX(商检明细!$A$17:$V$82,A18,3)</f>
        <v>{.customsDeclarationNameEng}</v>
      </c>
      <c r="D18" s="74"/>
      <c r="E18" s="90" t="str">
        <f>INDEX(商检明细!$A$17:$Y$46,A18,5)</f>
        <v>{.declarationQuantity}</v>
      </c>
      <c r="F18" s="90" t="str">
        <f>INDEX(商检明细!$A$17:$Y$46,A18,8)</f>
        <v>{.hsMeasureUnitName}</v>
      </c>
      <c r="G18" s="91" t="str">
        <f>INDEX(商检明细!$A$17:$Y$46,A18,6)</f>
        <v>{.saleUnitPriceAmount}</v>
      </c>
      <c r="H18" s="91" t="str">
        <f>INDEX(商检明细!$A$17:$Y$46,A18,7)</f>
        <v>{.saleAmountAmount}</v>
      </c>
      <c r="I18" s="100" t="str">
        <f>IF(H18=0,"","美元")</f>
        <v>美元</v>
      </c>
      <c r="J18" s="101" t="str">
        <f>IF(H18=0,"","中国")</f>
        <v>中国</v>
      </c>
      <c r="K18" s="72" t="str">
        <f>商检明细!D6</f>
        <v>{tradeCountryName}</v>
      </c>
      <c r="L18" s="72" t="str">
        <f>IF(H18=0,"","宁波")</f>
        <v>宁波</v>
      </c>
      <c r="M18" s="112" t="str">
        <f>IF(H18=0,"","照章征税")</f>
        <v>照章征税</v>
      </c>
      <c r="N18" s="113"/>
      <c r="O18" s="111"/>
    </row>
    <row r="19" s="43" customFormat="1" ht="41" spans="1:15">
      <c r="A19" s="71"/>
      <c r="B19" s="72"/>
      <c r="C19" s="75" t="str">
        <f>INDEX(商检明细!$A$17:$V$82,A18,2)</f>
        <v>{.declarationName}</v>
      </c>
      <c r="D19" s="76"/>
      <c r="E19" s="90" t="str">
        <f>INDEX(商检明细!$A$17:$Y$46,A18,25)</f>
        <v>{.totalNetweightWeight}</v>
      </c>
      <c r="F19" s="90" t="str">
        <f>IF(E19=0,"","千克")</f>
        <v>千克</v>
      </c>
      <c r="G19" s="71"/>
      <c r="H19" s="71"/>
      <c r="I19" s="100"/>
      <c r="J19" s="101"/>
      <c r="K19" s="72"/>
      <c r="L19" s="72"/>
      <c r="M19" s="114"/>
      <c r="N19" s="115"/>
      <c r="O19" s="111"/>
    </row>
    <row r="20" s="43" customFormat="1" ht="41" spans="1:15">
      <c r="A20" s="71"/>
      <c r="B20" s="72"/>
      <c r="C20" s="77" t="str">
        <f>INDEX(商检明细!$A$17:$V$82,A18,4)</f>
        <v>{.customsDeclareElements}</v>
      </c>
      <c r="D20" s="78"/>
      <c r="E20" s="90"/>
      <c r="F20" s="90" t="s">
        <v>13</v>
      </c>
      <c r="G20" s="71"/>
      <c r="H20" s="71"/>
      <c r="I20" s="100"/>
      <c r="J20" s="101"/>
      <c r="K20" s="72"/>
      <c r="L20" s="72"/>
      <c r="M20" s="116"/>
      <c r="N20" s="117"/>
      <c r="O20" s="111"/>
    </row>
    <row r="21" s="43" customFormat="1" ht="14.25" customHeight="1" spans="1:15">
      <c r="A21" s="71">
        <v>2</v>
      </c>
      <c r="B21" s="72">
        <f>INDEX(商检明细!$A$17:$V$82,A21,12)</f>
        <v>0</v>
      </c>
      <c r="C21" s="73">
        <f>INDEX(商检明细!$A$17:$V$82,A21,3)</f>
        <v>0</v>
      </c>
      <c r="D21" s="74"/>
      <c r="E21" s="90">
        <f>INDEX(商检明细!$A$17:$Y$46,A21,5)</f>
        <v>0</v>
      </c>
      <c r="F21" s="90">
        <f>INDEX(商检明细!$A$17:$Y$46,A21,8)</f>
        <v>0</v>
      </c>
      <c r="G21" s="91">
        <f>INDEX(商检明细!$A$17:$Y$46,A21,6)</f>
        <v>0</v>
      </c>
      <c r="H21" s="91">
        <f>INDEX(商检明细!$A$17:$Y$46,A21,7)</f>
        <v>0</v>
      </c>
      <c r="I21" s="100" t="str">
        <f>IF(H21=0,"","美元")</f>
        <v/>
      </c>
      <c r="J21" s="101" t="str">
        <f>IF(H21=0,"","中国")</f>
        <v/>
      </c>
      <c r="K21" s="72" t="str">
        <f>G$10</f>
        <v>{tradeCountryName}</v>
      </c>
      <c r="L21" s="72" t="str">
        <f>IF(H21=0,"","宁波")</f>
        <v/>
      </c>
      <c r="M21" s="112" t="str">
        <f>IF(H21=0,"","照章征税")</f>
        <v/>
      </c>
      <c r="N21" s="113"/>
      <c r="O21" s="111"/>
    </row>
    <row r="22" s="43" customFormat="1" ht="14.25" customHeight="1" spans="1:15">
      <c r="A22" s="71"/>
      <c r="B22" s="72"/>
      <c r="C22" s="75">
        <f>INDEX(商检明细!$A$17:$V$82,A21,2)</f>
        <v>0</v>
      </c>
      <c r="D22" s="76"/>
      <c r="E22" s="90">
        <f>INDEX(商检明细!$A$17:$Y$46,A21,25)</f>
        <v>0</v>
      </c>
      <c r="F22" s="90" t="str">
        <f>IF(E22=0,"","千克")</f>
        <v/>
      </c>
      <c r="G22" s="71"/>
      <c r="H22" s="71"/>
      <c r="I22" s="100"/>
      <c r="J22" s="101"/>
      <c r="K22" s="72"/>
      <c r="L22" s="72"/>
      <c r="M22" s="114"/>
      <c r="N22" s="115"/>
      <c r="O22" s="111"/>
    </row>
    <row r="23" s="43" customFormat="1" ht="14" spans="1:15">
      <c r="A23" s="71"/>
      <c r="B23" s="72"/>
      <c r="C23" s="77">
        <f>INDEX(商检明细!$A$17:$V$82,A21,4)</f>
        <v>0</v>
      </c>
      <c r="D23" s="78"/>
      <c r="E23" s="90" t="s">
        <v>13</v>
      </c>
      <c r="F23" s="90" t="s">
        <v>13</v>
      </c>
      <c r="G23" s="71"/>
      <c r="H23" s="71"/>
      <c r="I23" s="100"/>
      <c r="J23" s="101"/>
      <c r="K23" s="72"/>
      <c r="L23" s="72"/>
      <c r="M23" s="116"/>
      <c r="N23" s="117"/>
      <c r="O23" s="111"/>
    </row>
    <row r="24" s="43" customFormat="1" ht="14.25" customHeight="1" spans="1:15">
      <c r="A24" s="71">
        <v>3</v>
      </c>
      <c r="B24" s="72">
        <f>INDEX(商检明细!$A$17:$V$82,A24,12)</f>
        <v>0</v>
      </c>
      <c r="C24" s="73">
        <f>INDEX(商检明细!$A$17:$V$82,A24,3)</f>
        <v>0</v>
      </c>
      <c r="D24" s="74"/>
      <c r="E24" s="90">
        <f>INDEX(商检明细!$A$17:$Y$46,A24,5)</f>
        <v>0</v>
      </c>
      <c r="F24" s="90">
        <f>INDEX(商检明细!$A$17:$Y$46,A24,8)</f>
        <v>0</v>
      </c>
      <c r="G24" s="91">
        <f>INDEX(商检明细!$A$17:$Y$46,A24,6)</f>
        <v>0</v>
      </c>
      <c r="H24" s="91">
        <f>INDEX(商检明细!$A$17:$Y$46,A24,7)</f>
        <v>0</v>
      </c>
      <c r="I24" s="100" t="str">
        <f>IF(H24=0,"","美元")</f>
        <v/>
      </c>
      <c r="J24" s="101" t="str">
        <f>IF(H24=0,"","中国")</f>
        <v/>
      </c>
      <c r="K24" s="72" t="str">
        <f>G$10</f>
        <v>{tradeCountryName}</v>
      </c>
      <c r="L24" s="72" t="str">
        <f>IF(H24=0,"","宁波")</f>
        <v/>
      </c>
      <c r="M24" s="112" t="str">
        <f>IF(H24=0,"","照章征税")</f>
        <v/>
      </c>
      <c r="N24" s="113"/>
      <c r="O24" s="111"/>
    </row>
    <row r="25" s="43" customFormat="1" ht="14.25" customHeight="1" spans="1:15">
      <c r="A25" s="71"/>
      <c r="B25" s="72"/>
      <c r="C25" s="75"/>
      <c r="D25" s="76"/>
      <c r="E25" s="90">
        <f>INDEX(商检明细!$A$17:$Y$46,A24,25)</f>
        <v>0</v>
      </c>
      <c r="F25" s="90" t="str">
        <f>IF(E25=0,"","千克")</f>
        <v/>
      </c>
      <c r="G25" s="71"/>
      <c r="H25" s="71"/>
      <c r="I25" s="100"/>
      <c r="J25" s="101"/>
      <c r="K25" s="72"/>
      <c r="L25" s="72"/>
      <c r="M25" s="114"/>
      <c r="N25" s="115"/>
      <c r="O25" s="111"/>
    </row>
    <row r="26" s="43" customFormat="1" ht="13.6" spans="1:15">
      <c r="A26" s="71"/>
      <c r="B26" s="72"/>
      <c r="C26" s="77"/>
      <c r="D26" s="78"/>
      <c r="E26" s="90"/>
      <c r="F26" s="90"/>
      <c r="G26" s="71"/>
      <c r="H26" s="71"/>
      <c r="I26" s="100"/>
      <c r="J26" s="101"/>
      <c r="K26" s="72"/>
      <c r="L26" s="72"/>
      <c r="M26" s="116"/>
      <c r="N26" s="117"/>
      <c r="O26" s="111"/>
    </row>
    <row r="27" s="43" customFormat="1" ht="14.25" customHeight="1" spans="1:15">
      <c r="A27" s="71">
        <v>4</v>
      </c>
      <c r="B27" s="72">
        <f>INDEX(商检明细!$A$17:$V$82,A27,12)</f>
        <v>0</v>
      </c>
      <c r="C27" s="73">
        <f>INDEX(商检明细!$A$17:$V$82,A27,3)</f>
        <v>0</v>
      </c>
      <c r="D27" s="74"/>
      <c r="E27" s="90">
        <f>INDEX(商检明细!$A$17:$Y$46,A27,5)</f>
        <v>0</v>
      </c>
      <c r="F27" s="90">
        <f>INDEX(商检明细!$A$17:$Y$46,A27,8)</f>
        <v>0</v>
      </c>
      <c r="G27" s="91">
        <f>INDEX(商检明细!$A$17:$Y$46,A27,6)</f>
        <v>0</v>
      </c>
      <c r="H27" s="91">
        <f>INDEX(商检明细!$A$17:$Y$46,A27,7)</f>
        <v>0</v>
      </c>
      <c r="I27" s="100" t="str">
        <f>IF(H27=0,"","美元")</f>
        <v/>
      </c>
      <c r="J27" s="101" t="str">
        <f>IF(H27=0,"","中国")</f>
        <v/>
      </c>
      <c r="K27" s="72" t="str">
        <f>G$10</f>
        <v>{tradeCountryName}</v>
      </c>
      <c r="L27" s="72" t="str">
        <f>IF(H27=0,"","宁波")</f>
        <v/>
      </c>
      <c r="M27" s="112" t="str">
        <f>IF(H27=0,"","照章征税")</f>
        <v/>
      </c>
      <c r="N27" s="113"/>
      <c r="O27" s="111"/>
    </row>
    <row r="28" s="43" customFormat="1" ht="14.25" customHeight="1" spans="1:15">
      <c r="A28" s="71"/>
      <c r="B28" s="72"/>
      <c r="C28" s="75">
        <f>INDEX(商检明细!$A$17:$V$82,A27,2)</f>
        <v>0</v>
      </c>
      <c r="D28" s="76"/>
      <c r="E28" s="90">
        <f>INDEX(商检明细!$A$17:$Y$46,A27,25)</f>
        <v>0</v>
      </c>
      <c r="F28" s="90" t="str">
        <f>IF(E28=0,"","千克")</f>
        <v/>
      </c>
      <c r="G28" s="71"/>
      <c r="H28" s="71"/>
      <c r="I28" s="100"/>
      <c r="J28" s="101"/>
      <c r="K28" s="72"/>
      <c r="L28" s="72"/>
      <c r="M28" s="114"/>
      <c r="N28" s="115"/>
      <c r="O28" s="111"/>
    </row>
    <row r="29" s="43" customFormat="1" ht="13.6" spans="1:15">
      <c r="A29" s="71"/>
      <c r="B29" s="72"/>
      <c r="C29" s="77">
        <f>INDEX(商检明细!$A$17:$V$82,A27,4)</f>
        <v>0</v>
      </c>
      <c r="D29" s="78"/>
      <c r="E29" s="90"/>
      <c r="F29" s="90"/>
      <c r="G29" s="71"/>
      <c r="H29" s="71"/>
      <c r="I29" s="100"/>
      <c r="J29" s="101"/>
      <c r="K29" s="72"/>
      <c r="L29" s="72"/>
      <c r="M29" s="116"/>
      <c r="N29" s="117"/>
      <c r="O29" s="111"/>
    </row>
    <row r="30" s="43" customFormat="1" ht="14.25" customHeight="1" spans="1:15">
      <c r="A30" s="71">
        <v>5</v>
      </c>
      <c r="B30" s="72">
        <f>INDEX(商检明细!$A$17:$V$82,A30,12)</f>
        <v>0</v>
      </c>
      <c r="C30" s="73">
        <f>INDEX(商检明细!$A$17:$V$82,A30,3)</f>
        <v>0</v>
      </c>
      <c r="D30" s="74"/>
      <c r="E30" s="90">
        <f>INDEX(商检明细!$A$17:$Y$46,A30,5)</f>
        <v>0</v>
      </c>
      <c r="F30" s="90">
        <f>INDEX(商检明细!$A$17:$Y$46,A30,8)</f>
        <v>0</v>
      </c>
      <c r="G30" s="91">
        <f>INDEX(商检明细!$A$17:$Y$46,A30,6)</f>
        <v>0</v>
      </c>
      <c r="H30" s="91">
        <f>INDEX(商检明细!$A$17:$Y$46,A30,7)</f>
        <v>0</v>
      </c>
      <c r="I30" s="100" t="str">
        <f>IF(H30=0,"","美元")</f>
        <v/>
      </c>
      <c r="J30" s="101" t="str">
        <f>IF(H30=0,"","中国")</f>
        <v/>
      </c>
      <c r="K30" s="72" t="str">
        <f>G$10</f>
        <v>{tradeCountryName}</v>
      </c>
      <c r="L30" s="72" t="str">
        <f>IF(H30=0,"","宁波")</f>
        <v/>
      </c>
      <c r="M30" s="112" t="str">
        <f>IF(H30=0,"","照章征税")</f>
        <v/>
      </c>
      <c r="N30" s="113"/>
      <c r="O30" s="111"/>
    </row>
    <row r="31" s="43" customFormat="1" ht="14.25" customHeight="1" spans="1:15">
      <c r="A31" s="71"/>
      <c r="B31" s="72"/>
      <c r="C31" s="75"/>
      <c r="D31" s="76"/>
      <c r="E31" s="90">
        <f>INDEX(商检明细!$A$17:$Y$46,A30,25)</f>
        <v>0</v>
      </c>
      <c r="F31" s="90" t="str">
        <f>IF(E31=0,"","千克")</f>
        <v/>
      </c>
      <c r="G31" s="71"/>
      <c r="H31" s="71"/>
      <c r="I31" s="100"/>
      <c r="J31" s="101"/>
      <c r="K31" s="72"/>
      <c r="L31" s="72"/>
      <c r="M31" s="114"/>
      <c r="N31" s="115"/>
      <c r="O31" s="111"/>
    </row>
    <row r="32" s="43" customFormat="1" ht="13.6" spans="1:15">
      <c r="A32" s="71"/>
      <c r="B32" s="72"/>
      <c r="C32" s="77"/>
      <c r="D32" s="78"/>
      <c r="E32" s="90"/>
      <c r="F32" s="90"/>
      <c r="G32" s="71"/>
      <c r="H32" s="71"/>
      <c r="I32" s="100"/>
      <c r="J32" s="101"/>
      <c r="K32" s="72"/>
      <c r="L32" s="72"/>
      <c r="M32" s="116"/>
      <c r="N32" s="117"/>
      <c r="O32" s="111"/>
    </row>
    <row r="33" s="43" customFormat="1" ht="14.25" customHeight="1" spans="1:15">
      <c r="A33" s="71">
        <v>6</v>
      </c>
      <c r="B33" s="72">
        <f>INDEX(商检明细!$A$17:$V$82,A33,12)</f>
        <v>0</v>
      </c>
      <c r="C33" s="73">
        <f>INDEX(商检明细!$A$17:$V$82,A33,3)</f>
        <v>0</v>
      </c>
      <c r="D33" s="74"/>
      <c r="E33" s="90">
        <f>INDEX(商检明细!$A$17:$Y$46,A33,5)</f>
        <v>0</v>
      </c>
      <c r="F33" s="90">
        <f>INDEX(商检明细!$A$17:$Y$46,A33,8)</f>
        <v>0</v>
      </c>
      <c r="G33" s="91" t="e">
        <f>商检明细!#REF!</f>
        <v>#REF!</v>
      </c>
      <c r="H33" s="91">
        <f>INDEX(商检明细!$A$17:$Y$46,A33,7)</f>
        <v>0</v>
      </c>
      <c r="I33" s="100" t="str">
        <f>IF(H33=0,"","美元")</f>
        <v/>
      </c>
      <c r="J33" s="101" t="str">
        <f>IF(H33=0,"","中国")</f>
        <v/>
      </c>
      <c r="K33" s="72" t="str">
        <f>G$10</f>
        <v>{tradeCountryName}</v>
      </c>
      <c r="L33" s="72" t="str">
        <f>IF(H33=0,"","宁波")</f>
        <v/>
      </c>
      <c r="M33" s="112" t="str">
        <f>IF(H33=0,"","照章征税")</f>
        <v/>
      </c>
      <c r="N33" s="113"/>
      <c r="O33" s="111"/>
    </row>
    <row r="34" s="43" customFormat="1" ht="14" spans="1:15">
      <c r="A34" s="71"/>
      <c r="B34" s="72"/>
      <c r="C34" s="75">
        <f>INDEX(商检明细!$A$17:$V$82,A33,2)</f>
        <v>0</v>
      </c>
      <c r="D34" s="76"/>
      <c r="E34" s="90">
        <f>INDEX(商检明细!$A$17:$Y$46,A33,25)</f>
        <v>0</v>
      </c>
      <c r="F34" s="90" t="str">
        <f>IF(E34=0,"","千克")</f>
        <v/>
      </c>
      <c r="G34" s="71"/>
      <c r="H34" s="71"/>
      <c r="I34" s="100"/>
      <c r="J34" s="101"/>
      <c r="K34" s="72"/>
      <c r="L34" s="72"/>
      <c r="M34" s="114"/>
      <c r="N34" s="115"/>
      <c r="O34" s="111"/>
    </row>
    <row r="35" s="43" customFormat="1" ht="13.6" spans="1:15">
      <c r="A35" s="71"/>
      <c r="B35" s="72"/>
      <c r="C35" s="77">
        <f>INDEX(商检明细!$A$17:$V$82,A33,4)</f>
        <v>0</v>
      </c>
      <c r="D35" s="78"/>
      <c r="E35" s="90"/>
      <c r="F35" s="90"/>
      <c r="G35" s="71"/>
      <c r="H35" s="71"/>
      <c r="I35" s="100"/>
      <c r="J35" s="101"/>
      <c r="K35" s="72"/>
      <c r="L35" s="72"/>
      <c r="M35" s="116"/>
      <c r="N35" s="117"/>
      <c r="O35" s="111"/>
    </row>
    <row r="36" s="43" customFormat="1" ht="14.25" customHeight="1" spans="1:15">
      <c r="A36" s="71">
        <v>7</v>
      </c>
      <c r="B36" s="72">
        <f>INDEX(商检明细!$A$17:$V$82,A36,12)</f>
        <v>0</v>
      </c>
      <c r="C36" s="73">
        <f>INDEX(商检明细!$A$17:$V$82,A36,3)</f>
        <v>0</v>
      </c>
      <c r="D36" s="74"/>
      <c r="E36" s="90">
        <f>INDEX(商检明细!$A$17:$Y$46,A36,5)</f>
        <v>0</v>
      </c>
      <c r="F36" s="90">
        <f>INDEX(商检明细!$A$17:$Y$46,A36,8)</f>
        <v>0</v>
      </c>
      <c r="G36" s="91" t="e">
        <f>商检明细!#REF!</f>
        <v>#REF!</v>
      </c>
      <c r="H36" s="91">
        <f>INDEX(商检明细!$A$17:$Y$46,A36,7)</f>
        <v>0</v>
      </c>
      <c r="I36" s="100" t="str">
        <f>IF(H36=0,"","美元")</f>
        <v/>
      </c>
      <c r="J36" s="101" t="str">
        <f>IF(H36=0,"","中国")</f>
        <v/>
      </c>
      <c r="K36" s="72" t="str">
        <f>G$10</f>
        <v>{tradeCountryName}</v>
      </c>
      <c r="L36" s="72" t="str">
        <f>IF(H36=0,"","宁波")</f>
        <v/>
      </c>
      <c r="M36" s="112" t="str">
        <f>IF(H36=0,"","照章征税")</f>
        <v/>
      </c>
      <c r="N36" s="113"/>
      <c r="O36" s="111"/>
    </row>
    <row r="37" s="43" customFormat="1" ht="14.25" customHeight="1" spans="1:15">
      <c r="A37" s="71"/>
      <c r="B37" s="72"/>
      <c r="C37" s="75"/>
      <c r="D37" s="76"/>
      <c r="E37" s="90">
        <f>INDEX(商检明细!$A$17:$Y$46,A36,25)</f>
        <v>0</v>
      </c>
      <c r="F37" s="90" t="str">
        <f>IF(E37=0,"","千克")</f>
        <v/>
      </c>
      <c r="G37" s="71"/>
      <c r="H37" s="71"/>
      <c r="I37" s="100"/>
      <c r="J37" s="101"/>
      <c r="K37" s="72"/>
      <c r="L37" s="72"/>
      <c r="M37" s="114"/>
      <c r="N37" s="115"/>
      <c r="O37" s="111"/>
    </row>
    <row r="38" s="43" customFormat="1" ht="13.6" spans="1:15">
      <c r="A38" s="71"/>
      <c r="B38" s="72"/>
      <c r="C38" s="77"/>
      <c r="D38" s="78"/>
      <c r="E38" s="90"/>
      <c r="F38" s="90"/>
      <c r="G38" s="71"/>
      <c r="H38" s="71"/>
      <c r="I38" s="100"/>
      <c r="J38" s="101"/>
      <c r="K38" s="72"/>
      <c r="L38" s="72"/>
      <c r="M38" s="116"/>
      <c r="N38" s="117"/>
      <c r="O38" s="111"/>
    </row>
    <row r="39" s="43" customFormat="1" ht="14.25" customHeight="1" spans="1:15">
      <c r="A39" s="71">
        <v>8</v>
      </c>
      <c r="B39" s="72">
        <f>INDEX(商检明细!$A$17:$V$82,A39,12)</f>
        <v>0</v>
      </c>
      <c r="C39" s="73">
        <f>INDEX(商检明细!$A$17:$V$82,A39,3)</f>
        <v>0</v>
      </c>
      <c r="D39" s="74"/>
      <c r="E39" s="90">
        <f>INDEX(商检明细!$A$17:$Y$46,A39,5)</f>
        <v>0</v>
      </c>
      <c r="F39" s="90">
        <f>INDEX(商检明细!$A$17:$Y$46,A39,8)</f>
        <v>0</v>
      </c>
      <c r="G39" s="91" t="e">
        <f>商检明细!#REF!</f>
        <v>#REF!</v>
      </c>
      <c r="H39" s="91">
        <f>INDEX(商检明细!$A$17:$Y$46,A39,7)</f>
        <v>0</v>
      </c>
      <c r="I39" s="100" t="str">
        <f>IF(H39=0,"","美元")</f>
        <v/>
      </c>
      <c r="J39" s="101" t="str">
        <f>IF(H39=0,"","中国")</f>
        <v/>
      </c>
      <c r="K39" s="72" t="str">
        <f>G$10</f>
        <v>{tradeCountryName}</v>
      </c>
      <c r="L39" s="72" t="str">
        <f>IF(H39=0,"","宁波")</f>
        <v/>
      </c>
      <c r="M39" s="112" t="str">
        <f>IF(H39=0,"","照章征税")</f>
        <v/>
      </c>
      <c r="N39" s="113"/>
      <c r="O39" s="111"/>
    </row>
    <row r="40" s="43" customFormat="1" ht="14.25" customHeight="1" spans="1:15">
      <c r="A40" s="71"/>
      <c r="B40" s="72"/>
      <c r="C40" s="75">
        <f>INDEX(商检明细!$A$17:$V$82,A39,2)</f>
        <v>0</v>
      </c>
      <c r="D40" s="76"/>
      <c r="E40" s="90">
        <f>INDEX(商检明细!$A$17:$Y$46,A39,25)</f>
        <v>0</v>
      </c>
      <c r="F40" s="90" t="str">
        <f>IF(E40=0,"","千克")</f>
        <v/>
      </c>
      <c r="G40" s="71"/>
      <c r="H40" s="71"/>
      <c r="I40" s="100"/>
      <c r="J40" s="101"/>
      <c r="K40" s="72"/>
      <c r="L40" s="72"/>
      <c r="M40" s="114"/>
      <c r="N40" s="115"/>
      <c r="O40" s="111"/>
    </row>
    <row r="41" s="43" customFormat="1" ht="14.25" customHeight="1" spans="1:15">
      <c r="A41" s="71"/>
      <c r="B41" s="72"/>
      <c r="C41" s="77">
        <f>INDEX(商检明细!$A$17:$V$82,A39,4)</f>
        <v>0</v>
      </c>
      <c r="D41" s="78"/>
      <c r="E41" s="90"/>
      <c r="F41" s="90"/>
      <c r="G41" s="71"/>
      <c r="H41" s="71"/>
      <c r="I41" s="100"/>
      <c r="J41" s="101"/>
      <c r="K41" s="72"/>
      <c r="L41" s="72"/>
      <c r="M41" s="116"/>
      <c r="N41" s="117"/>
      <c r="O41" s="111"/>
    </row>
    <row r="42" s="43" customFormat="1" ht="14.25" customHeight="1" spans="1:15">
      <c r="A42" s="71">
        <v>9</v>
      </c>
      <c r="B42" s="72">
        <f>INDEX(商检明细!$A$17:$V$82,A42,12)</f>
        <v>0</v>
      </c>
      <c r="C42" s="73">
        <f>INDEX(商检明细!$A$17:$V$82,A42,3)</f>
        <v>0</v>
      </c>
      <c r="D42" s="74"/>
      <c r="E42" s="90">
        <f>INDEX(商检明细!$A$17:$Y$46,A42,5)</f>
        <v>0</v>
      </c>
      <c r="F42" s="90">
        <f>INDEX(商检明细!$A$17:$Y$46,A42,8)</f>
        <v>0</v>
      </c>
      <c r="G42" s="91" t="e">
        <f>商检明细!#REF!</f>
        <v>#REF!</v>
      </c>
      <c r="H42" s="91">
        <f>INDEX(商检明细!$A$17:$Y$46,A42,7)</f>
        <v>0</v>
      </c>
      <c r="I42" s="100" t="str">
        <f>IF(H42=0,"","美元")</f>
        <v/>
      </c>
      <c r="J42" s="101" t="str">
        <f>IF(H42=0,"","中国")</f>
        <v/>
      </c>
      <c r="K42" s="72" t="str">
        <f>G$10</f>
        <v>{tradeCountryName}</v>
      </c>
      <c r="L42" s="72" t="str">
        <f>IF(H42=0,"","宁波")</f>
        <v/>
      </c>
      <c r="M42" s="112" t="str">
        <f>IF(H42=0,"","照章征税")</f>
        <v/>
      </c>
      <c r="N42" s="113"/>
      <c r="O42" s="111"/>
    </row>
    <row r="43" s="43" customFormat="1" ht="14" spans="1:15">
      <c r="A43" s="71"/>
      <c r="B43" s="72"/>
      <c r="C43" s="75">
        <f>INDEX(商检明细!$A$17:$V$82,A42,2)</f>
        <v>0</v>
      </c>
      <c r="D43" s="76"/>
      <c r="E43" s="90">
        <f>INDEX(商检明细!$A$17:$Y$46,A42,25)</f>
        <v>0</v>
      </c>
      <c r="F43" s="90" t="str">
        <f>IF(E43=0,"","千克")</f>
        <v/>
      </c>
      <c r="G43" s="71"/>
      <c r="H43" s="71"/>
      <c r="I43" s="100"/>
      <c r="J43" s="101"/>
      <c r="K43" s="72"/>
      <c r="L43" s="72"/>
      <c r="M43" s="114"/>
      <c r="N43" s="115"/>
      <c r="O43" s="111"/>
    </row>
    <row r="44" s="43" customFormat="1" ht="13.6" spans="1:15">
      <c r="A44" s="71"/>
      <c r="B44" s="72"/>
      <c r="C44" s="77">
        <f>INDEX(商检明细!$A$17:$V$82,A42,4)</f>
        <v>0</v>
      </c>
      <c r="D44" s="78"/>
      <c r="E44" s="90"/>
      <c r="F44" s="90"/>
      <c r="G44" s="71"/>
      <c r="H44" s="71"/>
      <c r="I44" s="100"/>
      <c r="J44" s="101"/>
      <c r="K44" s="72"/>
      <c r="L44" s="72"/>
      <c r="M44" s="116"/>
      <c r="N44" s="117"/>
      <c r="O44" s="111"/>
    </row>
    <row r="45" s="43" customFormat="1" ht="13.6" spans="1:15">
      <c r="A45" s="79" t="s">
        <v>202</v>
      </c>
      <c r="B45" s="80"/>
      <c r="C45" s="80"/>
      <c r="D45" s="80" t="s">
        <v>203</v>
      </c>
      <c r="E45" s="80"/>
      <c r="F45" s="80"/>
      <c r="G45" s="80" t="s">
        <v>204</v>
      </c>
      <c r="H45" s="80"/>
      <c r="I45" s="80"/>
      <c r="J45" s="80"/>
      <c r="K45" s="81" t="s">
        <v>205</v>
      </c>
      <c r="L45" s="81"/>
      <c r="M45" s="81"/>
      <c r="N45" s="70"/>
      <c r="O45" s="111"/>
    </row>
    <row r="46" s="43" customFormat="1" ht="13.6" spans="1:15">
      <c r="A46" s="79" t="s">
        <v>206</v>
      </c>
      <c r="B46" s="80"/>
      <c r="C46" s="80" t="s">
        <v>207</v>
      </c>
      <c r="D46" s="80" t="s">
        <v>208</v>
      </c>
      <c r="E46" s="80"/>
      <c r="F46" s="80"/>
      <c r="G46" s="80" t="s">
        <v>209</v>
      </c>
      <c r="H46" s="80"/>
      <c r="I46" s="80"/>
      <c r="J46" s="102"/>
      <c r="K46" s="103" t="s">
        <v>210</v>
      </c>
      <c r="L46" s="103"/>
      <c r="M46" s="103"/>
      <c r="N46" s="118"/>
      <c r="O46" s="111"/>
    </row>
    <row r="47" s="43" customFormat="1" ht="13.6" spans="1:15">
      <c r="A47" s="69" t="s">
        <v>211</v>
      </c>
      <c r="B47" s="81"/>
      <c r="C47" s="81"/>
      <c r="D47" s="81"/>
      <c r="E47" s="81"/>
      <c r="F47" s="81"/>
      <c r="G47" s="70"/>
      <c r="H47" s="81" t="s">
        <v>212</v>
      </c>
      <c r="I47" s="81"/>
      <c r="J47" s="70"/>
      <c r="K47" s="104"/>
      <c r="L47" s="104"/>
      <c r="M47" s="104"/>
      <c r="N47" s="119"/>
      <c r="O47" s="111"/>
    </row>
    <row r="48" s="43" customFormat="1" ht="13.6" spans="1:1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</row>
    <row r="49" s="43" customFormat="1" ht="13.6" spans="1:1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</row>
    <row r="50" s="43" customFormat="1" ht="13.6" spans="1:1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</row>
    <row r="51" s="43" customFormat="1" ht="13.6"/>
    <row r="52" s="43" customFormat="1" ht="20.4" spans="4:4">
      <c r="D52" s="83"/>
    </row>
    <row r="53" s="43" customFormat="1" spans="4:4">
      <c r="D53" s="4"/>
    </row>
    <row r="54" s="43" customFormat="1" spans="4:4">
      <c r="D54" s="4"/>
    </row>
    <row r="55" s="43" customFormat="1" spans="4:4">
      <c r="D55" s="4"/>
    </row>
    <row r="56" s="43" customFormat="1" ht="13.6"/>
    <row r="57" s="43" customFormat="1" ht="13.6"/>
    <row r="58" s="43" customFormat="1" ht="13.6"/>
    <row r="59" s="43" customFormat="1" ht="13.6"/>
    <row r="60" s="43" customFormat="1" ht="13.6"/>
    <row r="61" s="43" customFormat="1" ht="13.6"/>
    <row r="62" s="43" customFormat="1" ht="13.6"/>
    <row r="63" s="43" customFormat="1" ht="13.6"/>
    <row r="64" s="43" customFormat="1" ht="13.6"/>
    <row r="65" s="43" customFormat="1" ht="13.6"/>
    <row r="66" s="43" customFormat="1" ht="13.6"/>
    <row r="67" s="43" customFormat="1" ht="13.6"/>
    <row r="68" s="43" customFormat="1" ht="13.6"/>
    <row r="69" s="43" customFormat="1" ht="13.6"/>
    <row r="70" s="43" customFormat="1" ht="13.6"/>
    <row r="71" s="43" customFormat="1" ht="13.6"/>
    <row r="72" s="43" customFormat="1" ht="13.6"/>
    <row r="73" s="43" customFormat="1" ht="13.6"/>
    <row r="74" s="43" customFormat="1" ht="13.6"/>
    <row r="75" s="43" customFormat="1" ht="13.6"/>
    <row r="76" s="43" customFormat="1" ht="13.6"/>
    <row r="77" s="43" customFormat="1" ht="13.6"/>
    <row r="78" s="43" customFormat="1" ht="13.6"/>
    <row r="79" s="43" customFormat="1" ht="13.6"/>
    <row r="80" s="43" customFormat="1" ht="13.6"/>
    <row r="81" s="43" customFormat="1" ht="13.6"/>
    <row r="82" s="43" customFormat="1" ht="13.6"/>
    <row r="83" s="43" customFormat="1" ht="13.6"/>
    <row r="84" s="43" customFormat="1" ht="13.6"/>
    <row r="85" s="43" customFormat="1" ht="13.6"/>
    <row r="86" s="44" customFormat="1" ht="12"/>
    <row r="87" s="44" customFormat="1" ht="12"/>
    <row r="88" s="44" customFormat="1" ht="12"/>
    <row r="89" s="44" customFormat="1" ht="12"/>
    <row r="90" s="44" customFormat="1" ht="12"/>
    <row r="91" s="44" customFormat="1" ht="12"/>
  </sheetData>
  <mergeCells count="145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M36:N38"/>
    <mergeCell ref="M39:N41"/>
    <mergeCell ref="M42:N44"/>
    <mergeCell ref="M18:N20"/>
    <mergeCell ref="M21:N23"/>
    <mergeCell ref="M24:N26"/>
    <mergeCell ref="M27:N29"/>
    <mergeCell ref="M30:N32"/>
    <mergeCell ref="M33:N35"/>
    <mergeCell ref="K46:N47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5"/>
  <sheetViews>
    <sheetView showZeros="0" tabSelected="1" zoomScaleSheetLayoutView="60" topLeftCell="A9" workbookViewId="0">
      <selection activeCell="M34" sqref="M34"/>
    </sheetView>
  </sheetViews>
  <sheetFormatPr defaultColWidth="9.125" defaultRowHeight="17.6" outlineLevelCol="7"/>
  <cols>
    <col min="1" max="1" width="2.375" style="6" customWidth="1"/>
    <col min="2" max="2" width="14.75" style="6" customWidth="1"/>
    <col min="3" max="3" width="13.125" style="6" customWidth="1"/>
    <col min="4" max="4" width="13.25" style="6" customWidth="1"/>
    <col min="5" max="5" width="8.25" style="6" customWidth="1"/>
    <col min="6" max="6" width="13.75" style="6" customWidth="1"/>
    <col min="7" max="7" width="13.5" style="6" customWidth="1"/>
    <col min="8" max="32" width="9" style="6"/>
    <col min="33" max="16384" width="9.125" style="6"/>
  </cols>
  <sheetData>
    <row r="1" ht="31.6" spans="2:7">
      <c r="B1" s="7" t="str">
        <f>商检明细!B13</f>
        <v>{companyTitle}</v>
      </c>
      <c r="C1" s="7"/>
      <c r="D1" s="7"/>
      <c r="E1" s="7"/>
      <c r="F1" s="7"/>
      <c r="G1" s="7"/>
    </row>
    <row r="2" ht="31.6" spans="2:7">
      <c r="B2" s="8" t="e">
        <f>VLOOKUP(B1,资料!A3:D8,2,0)</f>
        <v>#N/A</v>
      </c>
      <c r="C2" s="8"/>
      <c r="D2" s="8"/>
      <c r="E2" s="8"/>
      <c r="F2" s="8"/>
      <c r="G2" s="8"/>
    </row>
    <row r="3" ht="20.4" spans="2:6">
      <c r="B3" s="9" t="s">
        <v>213</v>
      </c>
      <c r="C3" s="9"/>
      <c r="D3" s="9"/>
      <c r="E3" s="9"/>
      <c r="F3" s="9"/>
    </row>
    <row r="4" spans="2:6">
      <c r="B4" s="10"/>
      <c r="C4" s="10"/>
      <c r="D4" s="11"/>
      <c r="E4" s="11"/>
      <c r="F4" s="11"/>
    </row>
    <row r="5" spans="2:7">
      <c r="B5" s="10" t="s">
        <v>214</v>
      </c>
      <c r="C5" s="10" t="str">
        <f>商检明细!B5</f>
        <v>{saleContractCode}</v>
      </c>
      <c r="E5" s="12" t="s">
        <v>215</v>
      </c>
      <c r="F5" s="33" t="str">
        <f>LEFT(商检明细!F3,10)</f>
        <v>{inputDate</v>
      </c>
      <c r="G5" s="33"/>
    </row>
    <row r="6" spans="3:6">
      <c r="C6" s="12"/>
      <c r="D6" s="10" t="s">
        <v>216</v>
      </c>
      <c r="E6" s="11"/>
      <c r="F6" s="11"/>
    </row>
    <row r="7" ht="18" spans="2:6">
      <c r="B7" s="13" t="s">
        <v>217</v>
      </c>
      <c r="C7" s="11" t="str">
        <f>商检明细!H5</f>
        <v>{custName}</v>
      </c>
      <c r="D7" s="11"/>
      <c r="E7" s="11"/>
      <c r="F7" s="11"/>
    </row>
    <row r="8" spans="2:6">
      <c r="B8" s="14"/>
      <c r="C8" s="14"/>
      <c r="D8" s="14"/>
      <c r="E8" s="11"/>
      <c r="F8" s="11"/>
    </row>
    <row r="9" spans="1:8">
      <c r="A9" s="15"/>
      <c r="B9" s="16" t="s">
        <v>218</v>
      </c>
      <c r="C9" s="16"/>
      <c r="D9" s="16"/>
      <c r="E9" s="16"/>
      <c r="F9" s="16"/>
      <c r="G9" s="16"/>
      <c r="H9" s="15"/>
    </row>
    <row r="10" ht="21.75" customHeight="1" spans="1:8">
      <c r="A10" s="15"/>
      <c r="B10" s="17" t="s">
        <v>219</v>
      </c>
      <c r="C10" s="17"/>
      <c r="D10" s="16"/>
      <c r="E10" s="29"/>
      <c r="F10" s="29"/>
      <c r="G10" s="15"/>
      <c r="H10" s="15"/>
    </row>
    <row r="11" ht="26.25" customHeight="1" spans="1:8">
      <c r="A11" s="15"/>
      <c r="B11" s="18" t="s">
        <v>220</v>
      </c>
      <c r="C11" s="19"/>
      <c r="D11" s="20" t="s">
        <v>221</v>
      </c>
      <c r="E11" s="34"/>
      <c r="F11" s="35" t="s">
        <v>222</v>
      </c>
      <c r="G11" s="35" t="s">
        <v>223</v>
      </c>
      <c r="H11" s="29"/>
    </row>
    <row r="12" spans="1:8">
      <c r="A12" s="15"/>
      <c r="B12" s="21"/>
      <c r="C12" s="22"/>
      <c r="D12" s="23"/>
      <c r="E12" s="36"/>
      <c r="F12" s="37" t="s">
        <v>224</v>
      </c>
      <c r="G12" s="38"/>
      <c r="H12" s="29"/>
    </row>
    <row r="13" spans="1:8">
      <c r="A13" s="15"/>
      <c r="B13" s="21" t="str">
        <f>商检明细!C17</f>
        <v>{.customsDeclarationNameEng}</v>
      </c>
      <c r="C13" s="22"/>
      <c r="D13" s="24" t="str">
        <f>商检明细!E17</f>
        <v>{.declarationQuantity}</v>
      </c>
      <c r="E13" s="39" t="str">
        <f>IF(D13=0,"","PCS")</f>
        <v>PCS</v>
      </c>
      <c r="F13" s="37" t="str">
        <f>商检明细!F17</f>
        <v>{.saleUnitPriceAmount}</v>
      </c>
      <c r="G13" s="40" t="str">
        <f>商检明细!G17</f>
        <v>{.saleAmountAmount}</v>
      </c>
      <c r="H13" s="29"/>
    </row>
    <row r="14" spans="1:8">
      <c r="A14" s="15"/>
      <c r="B14" s="21">
        <f>商检明细!C18</f>
        <v>0</v>
      </c>
      <c r="C14" s="22"/>
      <c r="D14" s="24">
        <f>商检明细!E18</f>
        <v>0</v>
      </c>
      <c r="E14" s="39" t="str">
        <f t="shared" ref="E14:E25" si="0">IF(D14=0,"","PCS")</f>
        <v/>
      </c>
      <c r="F14" s="37">
        <f>商检明细!F18</f>
        <v>0</v>
      </c>
      <c r="G14" s="40">
        <f>商检明细!G18</f>
        <v>0</v>
      </c>
      <c r="H14" s="29"/>
    </row>
    <row r="15" spans="1:8">
      <c r="A15" s="15"/>
      <c r="B15" s="21">
        <f>商检明细!C19</f>
        <v>0</v>
      </c>
      <c r="C15" s="22"/>
      <c r="D15" s="24">
        <f>商检明细!E19</f>
        <v>0</v>
      </c>
      <c r="E15" s="39" t="str">
        <f t="shared" si="0"/>
        <v/>
      </c>
      <c r="F15" s="37">
        <f>商检明细!F19</f>
        <v>0</v>
      </c>
      <c r="G15" s="40">
        <f>商检明细!G19</f>
        <v>0</v>
      </c>
      <c r="H15" s="29"/>
    </row>
    <row r="16" spans="1:8">
      <c r="A16" s="15"/>
      <c r="B16" s="21">
        <f>商检明细!C20</f>
        <v>0</v>
      </c>
      <c r="C16" s="22"/>
      <c r="D16" s="24">
        <f>商检明细!E20</f>
        <v>0</v>
      </c>
      <c r="E16" s="39" t="str">
        <f t="shared" si="0"/>
        <v/>
      </c>
      <c r="F16" s="37">
        <f>商检明细!F20</f>
        <v>0</v>
      </c>
      <c r="G16" s="40">
        <f>商检明细!G20</f>
        <v>0</v>
      </c>
      <c r="H16" s="29"/>
    </row>
    <row r="17" spans="1:8">
      <c r="A17" s="15"/>
      <c r="B17" s="21">
        <f>商检明细!C21</f>
        <v>0</v>
      </c>
      <c r="C17" s="22"/>
      <c r="D17" s="24">
        <f>商检明细!E21</f>
        <v>0</v>
      </c>
      <c r="E17" s="39" t="str">
        <f t="shared" si="0"/>
        <v/>
      </c>
      <c r="F17" s="37">
        <f>商检明细!F21</f>
        <v>0</v>
      </c>
      <c r="G17" s="40">
        <f>商检明细!G21</f>
        <v>0</v>
      </c>
      <c r="H17" s="29"/>
    </row>
    <row r="18" spans="1:8">
      <c r="A18" s="15"/>
      <c r="B18" s="21">
        <f>商检明细!C22</f>
        <v>0</v>
      </c>
      <c r="C18" s="22"/>
      <c r="D18" s="24">
        <f>商检明细!E22</f>
        <v>0</v>
      </c>
      <c r="E18" s="39" t="str">
        <f t="shared" si="0"/>
        <v/>
      </c>
      <c r="F18" s="37">
        <f>商检明细!F22</f>
        <v>0</v>
      </c>
      <c r="G18" s="40">
        <f>商检明细!G22</f>
        <v>0</v>
      </c>
      <c r="H18" s="29"/>
    </row>
    <row r="19" spans="1:8">
      <c r="A19" s="15"/>
      <c r="B19" s="21">
        <f>商检明细!C23</f>
        <v>0</v>
      </c>
      <c r="C19" s="22"/>
      <c r="D19" s="24">
        <f>商检明细!E23</f>
        <v>0</v>
      </c>
      <c r="E19" s="39" t="str">
        <f t="shared" si="0"/>
        <v/>
      </c>
      <c r="F19" s="37">
        <f>商检明细!F23</f>
        <v>0</v>
      </c>
      <c r="G19" s="40">
        <f>商检明细!G23</f>
        <v>0</v>
      </c>
      <c r="H19" s="29"/>
    </row>
    <row r="20" spans="1:8">
      <c r="A20" s="15"/>
      <c r="B20" s="21">
        <f>商检明细!C24</f>
        <v>0</v>
      </c>
      <c r="C20" s="22"/>
      <c r="D20" s="24">
        <f>商检明细!E24</f>
        <v>0</v>
      </c>
      <c r="E20" s="39" t="str">
        <f t="shared" si="0"/>
        <v/>
      </c>
      <c r="F20" s="37">
        <f>商检明细!F24</f>
        <v>0</v>
      </c>
      <c r="G20" s="40">
        <f>商检明细!G24</f>
        <v>0</v>
      </c>
      <c r="H20" s="29"/>
    </row>
    <row r="21" spans="1:8">
      <c r="A21" s="15"/>
      <c r="B21" s="21">
        <f>商检明细!C25</f>
        <v>0</v>
      </c>
      <c r="C21" s="22"/>
      <c r="D21" s="24">
        <f>商检明细!E25</f>
        <v>0</v>
      </c>
      <c r="E21" s="39" t="str">
        <f t="shared" si="0"/>
        <v/>
      </c>
      <c r="F21" s="37">
        <f>商检明细!F25</f>
        <v>0</v>
      </c>
      <c r="G21" s="40">
        <f>商检明细!G25</f>
        <v>0</v>
      </c>
      <c r="H21" s="29"/>
    </row>
    <row r="22" spans="1:8">
      <c r="A22" s="15"/>
      <c r="B22" s="21">
        <f>商检明细!C26</f>
        <v>0</v>
      </c>
      <c r="C22" s="22"/>
      <c r="D22" s="24">
        <f>商检明细!E26</f>
        <v>0</v>
      </c>
      <c r="E22" s="39" t="str">
        <f t="shared" si="0"/>
        <v/>
      </c>
      <c r="F22" s="37">
        <f>商检明细!F26</f>
        <v>0</v>
      </c>
      <c r="G22" s="40">
        <f>商检明细!G26</f>
        <v>0</v>
      </c>
      <c r="H22" s="29"/>
    </row>
    <row r="23" spans="1:8">
      <c r="A23" s="15"/>
      <c r="B23" s="21">
        <f>商检明细!C27</f>
        <v>0</v>
      </c>
      <c r="C23" s="22"/>
      <c r="D23" s="24">
        <f>商检明细!E27</f>
        <v>0</v>
      </c>
      <c r="E23" s="39" t="str">
        <f t="shared" si="0"/>
        <v/>
      </c>
      <c r="F23" s="37">
        <f>商检明细!F27</f>
        <v>0</v>
      </c>
      <c r="G23" s="40">
        <f>商检明细!G27</f>
        <v>0</v>
      </c>
      <c r="H23" s="29"/>
    </row>
    <row r="24" spans="1:8">
      <c r="A24" s="15"/>
      <c r="B24" s="21">
        <f>商检明细!C28</f>
        <v>0</v>
      </c>
      <c r="C24" s="22"/>
      <c r="D24" s="24">
        <f>商检明细!E28</f>
        <v>0</v>
      </c>
      <c r="E24" s="39" t="str">
        <f t="shared" si="0"/>
        <v/>
      </c>
      <c r="F24" s="37">
        <f>商检明细!F28</f>
        <v>0</v>
      </c>
      <c r="G24" s="40">
        <f>商检明细!G28</f>
        <v>0</v>
      </c>
      <c r="H24" s="29"/>
    </row>
    <row r="25" spans="1:8">
      <c r="A25" s="15"/>
      <c r="B25" s="25">
        <f>商检明细!C29</f>
        <v>0</v>
      </c>
      <c r="C25" s="26"/>
      <c r="D25" s="27"/>
      <c r="E25" s="41" t="str">
        <f t="shared" si="0"/>
        <v/>
      </c>
      <c r="F25" s="17" t="s">
        <v>144</v>
      </c>
      <c r="G25" s="42">
        <f>SUM(G13:G24)</f>
        <v>0</v>
      </c>
      <c r="H25" s="29"/>
    </row>
    <row r="26" spans="1:8">
      <c r="A26" s="15"/>
      <c r="B26" s="28"/>
      <c r="C26" s="28"/>
      <c r="D26" s="29"/>
      <c r="E26" s="29"/>
      <c r="F26" s="29"/>
      <c r="G26" s="15"/>
      <c r="H26" s="15"/>
    </row>
    <row r="27" ht="26.25" customHeight="1" spans="2:7">
      <c r="B27" s="30" t="s">
        <v>225</v>
      </c>
      <c r="C27" s="30"/>
      <c r="D27" s="30"/>
      <c r="E27" s="30"/>
      <c r="F27" s="30"/>
      <c r="G27" s="30"/>
    </row>
    <row r="28" spans="2:6">
      <c r="B28" s="10" t="s">
        <v>226</v>
      </c>
      <c r="C28" s="10"/>
      <c r="D28" s="31" t="str">
        <f>LEFT(商检明细!H4,10)</f>
        <v>{shipDate}</v>
      </c>
      <c r="E28" s="11"/>
      <c r="F28" s="11"/>
    </row>
    <row r="29" spans="2:6">
      <c r="B29" s="32" t="str">
        <f>"3.FROM  "&amp;商检明细!D8&amp;"  TO  "&amp;商检明细!F8&amp;"  "&amp;商检明细!B8</f>
        <v>3.FROM  {departurePortName}  TO  {destinationPortName}  {transportType}</v>
      </c>
      <c r="C29" s="32"/>
      <c r="D29" s="32"/>
      <c r="E29" s="32"/>
      <c r="F29" s="32"/>
    </row>
    <row r="30" spans="2:6">
      <c r="B30" s="10" t="s">
        <v>227</v>
      </c>
      <c r="C30" s="10"/>
      <c r="D30" s="11"/>
      <c r="E30" s="11"/>
      <c r="F30" s="11"/>
    </row>
    <row r="31" spans="2:6">
      <c r="B31" s="10" t="s">
        <v>228</v>
      </c>
      <c r="C31" s="10"/>
      <c r="D31" s="11"/>
      <c r="E31" s="11"/>
      <c r="F31" s="11"/>
    </row>
    <row r="32" spans="2:6">
      <c r="B32" s="10" t="s">
        <v>229</v>
      </c>
      <c r="C32" s="10"/>
      <c r="D32" s="11"/>
      <c r="E32" s="11"/>
      <c r="F32" s="11"/>
    </row>
    <row r="33" spans="2:6">
      <c r="B33" s="10" t="s">
        <v>230</v>
      </c>
      <c r="C33" s="10"/>
      <c r="D33" s="11"/>
      <c r="E33" s="11"/>
      <c r="F33" s="11"/>
    </row>
    <row r="34" spans="2:4">
      <c r="B34" s="10" t="s">
        <v>231</v>
      </c>
      <c r="C34" s="10"/>
      <c r="D34" s="11"/>
    </row>
    <row r="35" spans="2:4">
      <c r="B35" s="10" t="s">
        <v>232</v>
      </c>
      <c r="C35" s="10"/>
      <c r="D35" s="11"/>
    </row>
    <row r="36" ht="32" spans="2:4">
      <c r="B36" s="30" t="s">
        <v>233</v>
      </c>
      <c r="C36" s="30"/>
      <c r="D36" s="11"/>
    </row>
    <row r="37" spans="2:4">
      <c r="B37" s="10"/>
      <c r="C37" s="10"/>
      <c r="D37" s="11"/>
    </row>
    <row r="38" spans="2:4">
      <c r="B38" s="10"/>
      <c r="C38" s="10"/>
      <c r="D38" s="11"/>
    </row>
    <row r="39" spans="2:4">
      <c r="B39" s="10" t="s">
        <v>234</v>
      </c>
      <c r="C39" s="10"/>
      <c r="D39" s="11"/>
    </row>
    <row r="40" spans="2:4">
      <c r="B40" s="10"/>
      <c r="C40" s="10"/>
      <c r="D40" s="11"/>
    </row>
    <row r="41" spans="2:4">
      <c r="B41" s="10"/>
      <c r="C41" s="10"/>
      <c r="D41" s="11"/>
    </row>
    <row r="42" spans="2:4">
      <c r="B42" s="10"/>
      <c r="C42" s="10"/>
      <c r="D42" s="11"/>
    </row>
    <row r="43" spans="2:5">
      <c r="B43" s="10" t="s">
        <v>235</v>
      </c>
      <c r="C43" s="10"/>
      <c r="E43" s="10" t="s">
        <v>236</v>
      </c>
    </row>
    <row r="44" spans="2:5">
      <c r="B44" s="10" t="s">
        <v>237</v>
      </c>
      <c r="C44" s="10"/>
      <c r="E44" s="10" t="s">
        <v>238</v>
      </c>
    </row>
    <row r="45" spans="2:4">
      <c r="B45" s="11"/>
      <c r="C45" s="11"/>
      <c r="D45" s="11"/>
    </row>
  </sheetData>
  <mergeCells count="24">
    <mergeCell ref="B1:G1"/>
    <mergeCell ref="B2:G2"/>
    <mergeCell ref="B3:F3"/>
    <mergeCell ref="F5:G5"/>
    <mergeCell ref="C7:E7"/>
    <mergeCell ref="B9:G9"/>
    <mergeCell ref="B10:C10"/>
    <mergeCell ref="D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G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3"/>
  <sheetViews>
    <sheetView zoomScaleSheetLayoutView="60" workbookViewId="0">
      <selection activeCell="E10" sqref="E10"/>
    </sheetView>
  </sheetViews>
  <sheetFormatPr defaultColWidth="9.125" defaultRowHeight="17.6"/>
  <cols>
    <col min="1" max="1" width="22.875" customWidth="1"/>
    <col min="2" max="2" width="27.75" customWidth="1"/>
    <col min="3" max="3" width="24.875" customWidth="1"/>
    <col min="4" max="4" width="46.625"/>
    <col min="5" max="5" width="56"/>
    <col min="6" max="7" width="22.75" customWidth="1"/>
    <col min="9" max="9" width="15"/>
  </cols>
  <sheetData>
    <row r="2" spans="1:9">
      <c r="A2" s="1" t="s">
        <v>239</v>
      </c>
      <c r="B2" s="1" t="s">
        <v>240</v>
      </c>
      <c r="C2" s="1" t="s">
        <v>241</v>
      </c>
      <c r="D2" s="1" t="s">
        <v>242</v>
      </c>
      <c r="E2" s="1" t="s">
        <v>243</v>
      </c>
      <c r="F2" s="1" t="s">
        <v>244</v>
      </c>
      <c r="G2" s="1" t="s">
        <v>245</v>
      </c>
      <c r="H2" s="2" t="s">
        <v>246</v>
      </c>
      <c r="I2" t="s">
        <v>247</v>
      </c>
    </row>
    <row r="3" ht="122" spans="1:9">
      <c r="A3" s="1" t="s">
        <v>248</v>
      </c>
      <c r="B3" s="1" t="s">
        <v>249</v>
      </c>
      <c r="C3" s="1" t="s">
        <v>250</v>
      </c>
      <c r="D3" s="1" t="s">
        <v>251</v>
      </c>
      <c r="E3" s="3" t="s">
        <v>252</v>
      </c>
      <c r="F3" s="4">
        <v>3302941306</v>
      </c>
      <c r="G3" t="s">
        <v>253</v>
      </c>
      <c r="H3" s="2" t="s">
        <v>208</v>
      </c>
      <c r="I3" t="s">
        <v>254</v>
      </c>
    </row>
    <row r="4" spans="1:9">
      <c r="A4" s="1"/>
      <c r="B4" s="1"/>
      <c r="C4" s="1"/>
      <c r="D4" s="1"/>
      <c r="E4" s="1"/>
      <c r="H4" s="2" t="s">
        <v>255</v>
      </c>
      <c r="I4" t="s">
        <v>256</v>
      </c>
    </row>
    <row r="5" spans="1:9">
      <c r="A5" s="1"/>
      <c r="B5" s="1"/>
      <c r="C5" s="1"/>
      <c r="D5" s="1"/>
      <c r="E5" s="1"/>
      <c r="F5" s="1"/>
      <c r="G5" s="1"/>
      <c r="H5" s="2" t="s">
        <v>257</v>
      </c>
      <c r="I5" s="2" t="s">
        <v>258</v>
      </c>
    </row>
    <row r="6" spans="1:7">
      <c r="A6" s="1"/>
      <c r="B6" s="1"/>
      <c r="C6" s="1"/>
      <c r="D6" s="1"/>
      <c r="E6" s="1"/>
      <c r="F6" s="1"/>
      <c r="G6" s="1"/>
    </row>
    <row r="7" spans="1:9">
      <c r="A7" s="1"/>
      <c r="B7" s="1"/>
      <c r="C7" s="1"/>
      <c r="D7" s="1"/>
      <c r="E7" s="1"/>
      <c r="F7" s="1"/>
      <c r="G7" s="1"/>
      <c r="H7" s="2" t="s">
        <v>246</v>
      </c>
      <c r="I7" s="2" t="s">
        <v>259</v>
      </c>
    </row>
    <row r="8" spans="1:9">
      <c r="A8" s="1"/>
      <c r="B8" s="1"/>
      <c r="C8" s="1"/>
      <c r="D8" s="1"/>
      <c r="H8" s="2" t="s">
        <v>208</v>
      </c>
      <c r="I8" s="2" t="s">
        <v>260</v>
      </c>
    </row>
    <row r="9" spans="8:9">
      <c r="H9" s="2" t="s">
        <v>255</v>
      </c>
      <c r="I9" s="5" t="s">
        <v>261</v>
      </c>
    </row>
    <row r="10" spans="8:9">
      <c r="H10" s="2" t="s">
        <v>257</v>
      </c>
      <c r="I10" s="2" t="s">
        <v>258</v>
      </c>
    </row>
    <row r="11" spans="2:3">
      <c r="B11" s="2"/>
      <c r="C11" s="2"/>
    </row>
    <row r="12" spans="8:9">
      <c r="H12" s="2" t="s">
        <v>246</v>
      </c>
      <c r="I12" s="2" t="s">
        <v>262</v>
      </c>
    </row>
    <row r="13" spans="2:9">
      <c r="B13" s="2"/>
      <c r="C13" s="2"/>
      <c r="H13" s="2" t="s">
        <v>208</v>
      </c>
      <c r="I13" s="2" t="s">
        <v>263</v>
      </c>
    </row>
    <row r="14" spans="8:9">
      <c r="H14" s="2" t="s">
        <v>255</v>
      </c>
      <c r="I14" s="5" t="s">
        <v>264</v>
      </c>
    </row>
    <row r="15" spans="8:9">
      <c r="H15" s="2" t="s">
        <v>257</v>
      </c>
      <c r="I15" s="2" t="s">
        <v>258</v>
      </c>
    </row>
    <row r="16" spans="2:3">
      <c r="B16" s="2"/>
      <c r="C16" s="2"/>
    </row>
    <row r="18" spans="2:3">
      <c r="B18" s="2"/>
      <c r="C18" s="2"/>
    </row>
    <row r="21" spans="2:3">
      <c r="B21" s="2"/>
      <c r="C21" s="2"/>
    </row>
    <row r="23" spans="2:3">
      <c r="B23" s="2"/>
      <c r="C23" s="2"/>
    </row>
    <row r="26" spans="2:3">
      <c r="B26" s="2"/>
      <c r="C26" s="2"/>
    </row>
    <row r="28" spans="2:3">
      <c r="B28" s="2"/>
      <c r="C28" s="2"/>
    </row>
    <row r="31" spans="2:3">
      <c r="B31" s="2"/>
      <c r="C31" s="2"/>
    </row>
    <row r="33" spans="2:3">
      <c r="B33" s="2"/>
      <c r="C33" s="2"/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商检明细</vt:lpstr>
      <vt:lpstr>报关发票</vt:lpstr>
      <vt:lpstr>报关箱单</vt:lpstr>
      <vt:lpstr>报关单</vt:lpstr>
      <vt:lpstr>报关合同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yangyy</cp:lastModifiedBy>
  <dcterms:created xsi:type="dcterms:W3CDTF">2013-07-20T05:19:00Z</dcterms:created>
  <cp:lastPrinted>2022-05-23T08:20:00Z</cp:lastPrinted>
  <dcterms:modified xsi:type="dcterms:W3CDTF">2025-09-25T16:21:22Z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DB00BFC8F31E6A86BD200E67F46FBD8F_43</vt:lpwstr>
  </property>
</Properties>
</file>