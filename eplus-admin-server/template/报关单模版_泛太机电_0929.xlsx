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8_{2D0AA855-A460-4320-A01E-DB1995BBAE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报关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7" l="1"/>
  <c r="D28" i="7"/>
  <c r="H25" i="7"/>
  <c r="D25" i="7"/>
  <c r="B25" i="7"/>
  <c r="I24" i="7"/>
  <c r="H24" i="7"/>
  <c r="G24" i="7"/>
  <c r="F24" i="7" s="1"/>
  <c r="D24" i="7"/>
  <c r="E24" i="7" s="1"/>
  <c r="B24" i="7"/>
  <c r="I23" i="7"/>
  <c r="H23" i="7" s="1"/>
  <c r="G23" i="7"/>
  <c r="F23" i="7" s="1"/>
  <c r="D23" i="7"/>
  <c r="E23" i="7" s="1"/>
  <c r="B23" i="7"/>
  <c r="I22" i="7"/>
  <c r="H22" i="7" s="1"/>
  <c r="G22" i="7"/>
  <c r="F22" i="7" s="1"/>
  <c r="D22" i="7"/>
  <c r="E22" i="7" s="1"/>
  <c r="B22" i="7"/>
  <c r="I21" i="7"/>
  <c r="H21" i="7" s="1"/>
  <c r="G21" i="7"/>
  <c r="F21" i="7" s="1"/>
  <c r="D21" i="7"/>
  <c r="E21" i="7" s="1"/>
  <c r="B21" i="7"/>
  <c r="I20" i="7"/>
  <c r="H20" i="7" s="1"/>
  <c r="G20" i="7"/>
  <c r="F20" i="7"/>
  <c r="D20" i="7"/>
  <c r="E20" i="7" s="1"/>
  <c r="B20" i="7"/>
  <c r="I19" i="7"/>
  <c r="H19" i="7" s="1"/>
  <c r="G19" i="7"/>
  <c r="F19" i="7"/>
  <c r="D19" i="7"/>
  <c r="E19" i="7" s="1"/>
  <c r="B19" i="7"/>
  <c r="I18" i="7"/>
  <c r="H18" i="7" s="1"/>
  <c r="G18" i="7"/>
  <c r="F18" i="7"/>
  <c r="D18" i="7"/>
  <c r="E18" i="7" s="1"/>
  <c r="B18" i="7"/>
  <c r="I17" i="7"/>
  <c r="H17" i="7" s="1"/>
  <c r="G17" i="7"/>
  <c r="F17" i="7" s="1"/>
  <c r="E17" i="7"/>
  <c r="D17" i="7"/>
  <c r="B17" i="7"/>
  <c r="I16" i="7"/>
  <c r="H16" i="7" s="1"/>
  <c r="G16" i="7"/>
  <c r="F16" i="7"/>
  <c r="D16" i="7"/>
  <c r="E16" i="7" s="1"/>
  <c r="B16" i="7"/>
  <c r="I15" i="7"/>
  <c r="H15" i="7"/>
  <c r="G15" i="7"/>
  <c r="F15" i="7"/>
  <c r="D15" i="7"/>
  <c r="E15" i="7" s="1"/>
  <c r="B15" i="7"/>
  <c r="I14" i="7"/>
  <c r="G14" i="7"/>
  <c r="F14" i="7" s="1"/>
  <c r="D14" i="7"/>
  <c r="E14" i="7" s="1"/>
  <c r="B14" i="7"/>
  <c r="I13" i="7"/>
  <c r="H13" i="7"/>
  <c r="G13" i="7"/>
  <c r="F13" i="7"/>
  <c r="D13" i="7"/>
  <c r="E13" i="7" s="1"/>
  <c r="B13" i="7"/>
  <c r="F12" i="7"/>
  <c r="C7" i="7"/>
  <c r="F5" i="7"/>
  <c r="C5" i="7"/>
  <c r="B2" i="7"/>
  <c r="B1" i="7"/>
  <c r="E43" i="6"/>
  <c r="F43" i="6" s="1"/>
  <c r="C43" i="6"/>
  <c r="H42" i="6"/>
  <c r="L42" i="6" s="1"/>
  <c r="G42" i="6"/>
  <c r="F42" i="6"/>
  <c r="E42" i="6"/>
  <c r="C42" i="6"/>
  <c r="B42" i="6"/>
  <c r="C41" i="6"/>
  <c r="E40" i="6"/>
  <c r="F40" i="6" s="1"/>
  <c r="C40" i="6"/>
  <c r="H39" i="6"/>
  <c r="M39" i="6" s="1"/>
  <c r="G39" i="6"/>
  <c r="F39" i="6"/>
  <c r="E39" i="6"/>
  <c r="C39" i="6"/>
  <c r="B39" i="6"/>
  <c r="C38" i="6"/>
  <c r="E37" i="6"/>
  <c r="F37" i="6" s="1"/>
  <c r="C37" i="6"/>
  <c r="H36" i="6"/>
  <c r="M36" i="6" s="1"/>
  <c r="G36" i="6"/>
  <c r="F36" i="6"/>
  <c r="E36" i="6"/>
  <c r="C36" i="6"/>
  <c r="B36" i="6"/>
  <c r="C35" i="6"/>
  <c r="E34" i="6"/>
  <c r="F34" i="6" s="1"/>
  <c r="C34" i="6"/>
  <c r="H33" i="6"/>
  <c r="K33" i="6" s="1"/>
  <c r="G33" i="6"/>
  <c r="F33" i="6"/>
  <c r="E33" i="6"/>
  <c r="C33" i="6"/>
  <c r="B33" i="6"/>
  <c r="C32" i="6"/>
  <c r="E31" i="6"/>
  <c r="F31" i="6" s="1"/>
  <c r="C31" i="6"/>
  <c r="H30" i="6"/>
  <c r="L30" i="6" s="1"/>
  <c r="G30" i="6"/>
  <c r="F30" i="6"/>
  <c r="E30" i="6"/>
  <c r="C30" i="6"/>
  <c r="B30" i="6"/>
  <c r="C29" i="6"/>
  <c r="E28" i="6"/>
  <c r="F28" i="6" s="1"/>
  <c r="C28" i="6"/>
  <c r="H27" i="6"/>
  <c r="M27" i="6" s="1"/>
  <c r="G27" i="6"/>
  <c r="F27" i="6"/>
  <c r="E27" i="6"/>
  <c r="C27" i="6"/>
  <c r="B27" i="6"/>
  <c r="C26" i="6"/>
  <c r="E25" i="6"/>
  <c r="F25" i="6" s="1"/>
  <c r="C25" i="6"/>
  <c r="H24" i="6"/>
  <c r="M24" i="6" s="1"/>
  <c r="G24" i="6"/>
  <c r="F24" i="6"/>
  <c r="E24" i="6"/>
  <c r="C24" i="6"/>
  <c r="B24" i="6"/>
  <c r="C23" i="6"/>
  <c r="E22" i="6"/>
  <c r="F22" i="6" s="1"/>
  <c r="C22" i="6"/>
  <c r="H21" i="6"/>
  <c r="L21" i="6" s="1"/>
  <c r="G21" i="6"/>
  <c r="F21" i="6"/>
  <c r="E21" i="6"/>
  <c r="C21" i="6"/>
  <c r="B21" i="6"/>
  <c r="C20" i="6"/>
  <c r="E19" i="6"/>
  <c r="F19" i="6" s="1"/>
  <c r="C19" i="6"/>
  <c r="K18" i="6"/>
  <c r="I18" i="6"/>
  <c r="H18" i="6"/>
  <c r="L18" i="6" s="1"/>
  <c r="G18" i="6"/>
  <c r="F18" i="6"/>
  <c r="E18" i="6"/>
  <c r="C18" i="6"/>
  <c r="B18" i="6"/>
  <c r="G12" i="6"/>
  <c r="E12" i="6"/>
  <c r="C12" i="6"/>
  <c r="L10" i="6"/>
  <c r="K10" i="6"/>
  <c r="G10" i="6"/>
  <c r="D10" i="6"/>
  <c r="A10" i="6"/>
  <c r="D8" i="6"/>
  <c r="A8" i="6" s="1"/>
  <c r="C8" i="6"/>
  <c r="G6" i="6"/>
  <c r="A6" i="6"/>
  <c r="I4" i="6"/>
  <c r="D4" i="6"/>
  <c r="C4" i="6"/>
  <c r="A4" i="6"/>
  <c r="A34" i="12"/>
  <c r="I30" i="12"/>
  <c r="H30" i="12"/>
  <c r="G30" i="12"/>
  <c r="E30" i="12"/>
  <c r="F30" i="12" s="1"/>
  <c r="D30" i="12"/>
  <c r="C30" i="12"/>
  <c r="B30" i="12"/>
  <c r="I29" i="12"/>
  <c r="H29" i="12"/>
  <c r="G29" i="12"/>
  <c r="E29" i="12"/>
  <c r="F29" i="12" s="1"/>
  <c r="D29" i="12"/>
  <c r="C29" i="12"/>
  <c r="B29" i="12"/>
  <c r="I28" i="12"/>
  <c r="H28" i="12"/>
  <c r="G28" i="12"/>
  <c r="E28" i="12"/>
  <c r="F28" i="12" s="1"/>
  <c r="D28" i="12"/>
  <c r="C28" i="12"/>
  <c r="B28" i="12"/>
  <c r="I27" i="12"/>
  <c r="H27" i="12"/>
  <c r="G27" i="12"/>
  <c r="E27" i="12"/>
  <c r="F27" i="12" s="1"/>
  <c r="D27" i="12"/>
  <c r="C27" i="12"/>
  <c r="B27" i="12"/>
  <c r="I26" i="12"/>
  <c r="H26" i="12"/>
  <c r="G26" i="12"/>
  <c r="E26" i="12"/>
  <c r="F26" i="12" s="1"/>
  <c r="D26" i="12"/>
  <c r="C26" i="12"/>
  <c r="B26" i="12"/>
  <c r="I25" i="12"/>
  <c r="H25" i="12"/>
  <c r="G25" i="12"/>
  <c r="E25" i="12"/>
  <c r="F25" i="12" s="1"/>
  <c r="D25" i="12"/>
  <c r="C25" i="12"/>
  <c r="B25" i="12"/>
  <c r="I24" i="12"/>
  <c r="H24" i="12"/>
  <c r="G24" i="12"/>
  <c r="E24" i="12"/>
  <c r="F24" i="12" s="1"/>
  <c r="D24" i="12"/>
  <c r="C24" i="12"/>
  <c r="B24" i="12"/>
  <c r="I23" i="12"/>
  <c r="H23" i="12"/>
  <c r="G23" i="12"/>
  <c r="E23" i="12"/>
  <c r="D23" i="12"/>
  <c r="C23" i="12"/>
  <c r="B23" i="12"/>
  <c r="I22" i="12"/>
  <c r="H22" i="12"/>
  <c r="G22" i="12"/>
  <c r="E22" i="12"/>
  <c r="F22" i="12" s="1"/>
  <c r="D22" i="12"/>
  <c r="C22" i="12"/>
  <c r="B22" i="12"/>
  <c r="I21" i="12"/>
  <c r="H21" i="12"/>
  <c r="G21" i="12"/>
  <c r="E21" i="12"/>
  <c r="F21" i="12" s="1"/>
  <c r="D21" i="12"/>
  <c r="C21" i="12"/>
  <c r="B21" i="12"/>
  <c r="I20" i="12"/>
  <c r="H20" i="12"/>
  <c r="G20" i="12"/>
  <c r="E20" i="12"/>
  <c r="F20" i="12" s="1"/>
  <c r="D20" i="12"/>
  <c r="C20" i="12"/>
  <c r="B20" i="12"/>
  <c r="B14" i="12"/>
  <c r="B10" i="12"/>
  <c r="H8" i="12"/>
  <c r="B8" i="12"/>
  <c r="H6" i="12"/>
  <c r="A2" i="12"/>
  <c r="A1" i="12"/>
  <c r="A3" i="12" s="1"/>
  <c r="A37" i="5"/>
  <c r="I36" i="5"/>
  <c r="J35" i="5"/>
  <c r="I35" i="5" s="1"/>
  <c r="H35" i="5"/>
  <c r="G35" i="5"/>
  <c r="E35" i="5"/>
  <c r="F35" i="5" s="1"/>
  <c r="D35" i="5"/>
  <c r="C35" i="5"/>
  <c r="B35" i="5"/>
  <c r="J34" i="5"/>
  <c r="I34" i="5" s="1"/>
  <c r="H34" i="5"/>
  <c r="G34" i="5" s="1"/>
  <c r="E34" i="5"/>
  <c r="F34" i="5" s="1"/>
  <c r="D34" i="5"/>
  <c r="C34" i="5"/>
  <c r="B34" i="5"/>
  <c r="J33" i="5"/>
  <c r="I33" i="5" s="1"/>
  <c r="H33" i="5"/>
  <c r="G33" i="5" s="1"/>
  <c r="E33" i="5"/>
  <c r="F33" i="5" s="1"/>
  <c r="D33" i="5"/>
  <c r="C33" i="5"/>
  <c r="B33" i="5"/>
  <c r="J32" i="5"/>
  <c r="I32" i="5" s="1"/>
  <c r="H32" i="5"/>
  <c r="G32" i="5"/>
  <c r="E32" i="5"/>
  <c r="F32" i="5" s="1"/>
  <c r="D32" i="5"/>
  <c r="C32" i="5"/>
  <c r="B32" i="5"/>
  <c r="J31" i="5"/>
  <c r="I31" i="5"/>
  <c r="H31" i="5"/>
  <c r="G31" i="5" s="1"/>
  <c r="E31" i="5"/>
  <c r="F31" i="5" s="1"/>
  <c r="D31" i="5"/>
  <c r="C31" i="5"/>
  <c r="B31" i="5"/>
  <c r="J30" i="5"/>
  <c r="I30" i="5" s="1"/>
  <c r="H30" i="5"/>
  <c r="G30" i="5" s="1"/>
  <c r="E30" i="5"/>
  <c r="F30" i="5" s="1"/>
  <c r="D30" i="5"/>
  <c r="C30" i="5"/>
  <c r="B30" i="5"/>
  <c r="J29" i="5"/>
  <c r="I29" i="5"/>
  <c r="H29" i="5"/>
  <c r="G29" i="5"/>
  <c r="E29" i="5"/>
  <c r="F29" i="5" s="1"/>
  <c r="D29" i="5"/>
  <c r="C29" i="5"/>
  <c r="B29" i="5"/>
  <c r="J28" i="5"/>
  <c r="I28" i="5" s="1"/>
  <c r="H28" i="5"/>
  <c r="G28" i="5"/>
  <c r="E28" i="5"/>
  <c r="F28" i="5" s="1"/>
  <c r="D28" i="5"/>
  <c r="C28" i="5"/>
  <c r="B28" i="5"/>
  <c r="J27" i="5"/>
  <c r="I27" i="5" s="1"/>
  <c r="H27" i="5"/>
  <c r="G27" i="5" s="1"/>
  <c r="E27" i="5"/>
  <c r="F27" i="5" s="1"/>
  <c r="D27" i="5"/>
  <c r="C27" i="5"/>
  <c r="B27" i="5"/>
  <c r="J26" i="5"/>
  <c r="I26" i="5" s="1"/>
  <c r="H26" i="5"/>
  <c r="G26" i="5"/>
  <c r="E26" i="5"/>
  <c r="F26" i="5" s="1"/>
  <c r="D26" i="5"/>
  <c r="C26" i="5"/>
  <c r="B26" i="5"/>
  <c r="J25" i="5"/>
  <c r="I25" i="5"/>
  <c r="H25" i="5"/>
  <c r="G25" i="5"/>
  <c r="E25" i="5"/>
  <c r="F25" i="5" s="1"/>
  <c r="D25" i="5"/>
  <c r="C25" i="5"/>
  <c r="B25" i="5"/>
  <c r="G24" i="5"/>
  <c r="B19" i="5"/>
  <c r="B13" i="5"/>
  <c r="G10" i="5"/>
  <c r="B10" i="5"/>
  <c r="G7" i="5"/>
  <c r="A2" i="5"/>
  <c r="A1" i="5"/>
  <c r="A3" i="5" s="1"/>
  <c r="I25" i="7" l="1"/>
  <c r="J36" i="6"/>
  <c r="I24" i="6"/>
  <c r="G31" i="12"/>
  <c r="H31" i="12"/>
  <c r="M18" i="6"/>
  <c r="E31" i="12"/>
  <c r="C36" i="5"/>
  <c r="I31" i="12"/>
  <c r="J36" i="5"/>
  <c r="C31" i="12"/>
  <c r="M30" i="6"/>
  <c r="I36" i="6"/>
  <c r="M42" i="6"/>
  <c r="H14" i="7"/>
  <c r="H36" i="5"/>
  <c r="I39" i="6"/>
  <c r="J27" i="6"/>
  <c r="J39" i="6"/>
  <c r="K27" i="6"/>
  <c r="K39" i="6"/>
  <c r="I27" i="6"/>
  <c r="L27" i="6"/>
  <c r="L39" i="6"/>
  <c r="F23" i="12"/>
  <c r="K36" i="6"/>
  <c r="I21" i="6"/>
  <c r="I33" i="6"/>
  <c r="E36" i="5"/>
  <c r="J21" i="6"/>
  <c r="L33" i="6"/>
  <c r="M33" i="6"/>
  <c r="I30" i="6"/>
  <c r="I42" i="6"/>
  <c r="J24" i="6"/>
  <c r="K24" i="6"/>
  <c r="L24" i="6"/>
  <c r="J33" i="6"/>
  <c r="K21" i="6"/>
  <c r="M21" i="6"/>
  <c r="J18" i="6"/>
  <c r="J30" i="6"/>
  <c r="J42" i="6"/>
  <c r="L36" i="6"/>
  <c r="K30" i="6"/>
  <c r="K42" i="6"/>
</calcChain>
</file>

<file path=xl/sharedStrings.xml><?xml version="1.0" encoding="utf-8"?>
<sst xmlns="http://schemas.openxmlformats.org/spreadsheetml/2006/main" count="323" uniqueCount="275">
  <si>
    <t>报关单</t>
  </si>
  <si>
    <t>基本信息</t>
  </si>
  <si>
    <t>发票号</t>
  </si>
  <si>
    <t>{invoiceCode}</t>
  </si>
  <si>
    <t>单据编号</t>
  </si>
  <si>
    <t>{code}</t>
  </si>
  <si>
    <t>制单日期</t>
  </si>
  <si>
    <t>{inputDate}</t>
  </si>
  <si>
    <t>状态名称</t>
  </si>
  <si>
    <t>{status}</t>
  </si>
  <si>
    <t>录入人</t>
  </si>
  <si>
    <t>{inputUserName}</t>
  </si>
  <si>
    <t>审核时间</t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</si>
  <si>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</si>
  <si>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</si>
  <si>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</si>
  <si>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</si>
  <si>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</si>
  <si>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</si>
  <si>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</si>
  <si>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外销币种</t>
  </si>
  <si>
    <t>{currency}</t>
  </si>
  <si>
    <t>贸易国别</t>
  </si>
  <si>
    <t>{tradeCountryName}</t>
  </si>
  <si>
    <t>客户编号</t>
  </si>
  <si>
    <t>{custCode}</t>
  </si>
  <si>
    <t>客户名称</t>
  </si>
  <si>
    <t>{custName}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</si>
  <si>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</si>
  <si>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</si>
  <si>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</si>
  <si>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</si>
  <si>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</si>
  <si>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</si>
  <si>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</si>
  <si>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</si>
  <si>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</si>
  <si>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</si>
  <si>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</si>
  <si>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</si>
  <si>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</si>
  <si>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</si>
  <si>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</si>
  <si>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</si>
  <si>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</si>
  <si>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</si>
  <si>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</si>
  <si>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</si>
  <si>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</si>
  <si>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</si>
  <si>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</si>
  <si>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</si>
  <si>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</si>
  <si>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</si>
  <si>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</si>
  <si>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</si>
  <si>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</si>
  <si>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</si>
  <si>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</si>
  <si>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</si>
  <si>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</si>
  <si>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</si>
  <si>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</si>
  <si>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</si>
  <si>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</si>
  <si>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</si>
  <si>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</si>
  <si>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</si>
  <si>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</si>
  <si>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</si>
  <si>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海关编码</t>
  </si>
  <si>
    <t>报关要素</t>
  </si>
  <si>
    <t>中文品名</t>
  </si>
  <si>
    <t>英文品名</t>
  </si>
  <si>
    <t>出货数量</t>
  </si>
  <si>
    <t>计量单位</t>
  </si>
  <si>
    <t>海关计量单位</t>
  </si>
  <si>
    <t>报关数量</t>
  </si>
  <si>
    <t>箱数</t>
  </si>
  <si>
    <t>外箱单位</t>
  </si>
  <si>
    <t>计价方式</t>
  </si>
  <si>
    <t>报关单价</t>
  </si>
  <si>
    <t>报关总价</t>
  </si>
  <si>
    <t>外箱体积</t>
  </si>
  <si>
    <t>总体积</t>
  </si>
  <si>
    <t>外箱毛重</t>
  </si>
  <si>
    <t>总毛重</t>
  </si>
  <si>
    <t>外箱净重</t>
  </si>
  <si>
    <t>总净重</t>
  </si>
  <si>
    <t>退税率%</t>
  </si>
  <si>
    <t>{.sortNum}</t>
  </si>
  <si>
    <t>{.hsCode}</t>
  </si>
  <si>
    <t>{.declarationName}</t>
  </si>
  <si>
    <t>{.customsDeclarationNameEng}</t>
  </si>
  <si>
    <t>{.shippingQuantity}</t>
  </si>
  <si>
    <t>{.declarationUnit}</t>
  </si>
  <si>
    <t>{.hsMeasureUnit}</t>
  </si>
  <si>
    <t>{.boxCount}</t>
  </si>
  <si>
    <t>{.unitPerOuterbox}</t>
  </si>
  <si>
    <t>{.pricingMethod}</t>
  </si>
  <si>
    <t>{.declarationUnitPriceAmount}</t>
  </si>
  <si>
    <t>{.declarationTotalPrice}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</si>
  <si>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</si>
  <si>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</si>
  <si>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</si>
  <si>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</si>
  <si>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</si>
  <si>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</si>
  <si>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{.taxRefundRate}</t>
  </si>
  <si>
    <t>{.cskuCode}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</si>
  <si>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</si>
  <si>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</si>
  <si>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</si>
  <si>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</si>
  <si>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</si>
  <si>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</si>
  <si>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期</t>
    </r>
  </si>
  <si>
    <t>CONTRACT NO.</t>
  </si>
  <si>
    <t>DATE:</t>
  </si>
  <si>
    <r>
      <rPr>
        <sz val="10"/>
        <rFont val="宋体"/>
        <family val="3"/>
        <charset val="134"/>
      </rPr>
      <t>客</t>
    </r>
    <r>
      <rPr>
        <sz val="10"/>
        <rFont val="Times New Roman"/>
        <family val="1"/>
      </rPr>
      <t xml:space="preserve">        </t>
    </r>
    <r>
      <rPr>
        <sz val="10"/>
        <rFont val="宋体"/>
        <family val="3"/>
        <charset val="134"/>
      </rPr>
      <t>户</t>
    </r>
  </si>
  <si>
    <t>MESSRS</t>
  </si>
  <si>
    <r>
      <rPr>
        <sz val="10"/>
        <rFont val="宋体"/>
        <family val="3"/>
        <charset val="134"/>
      </rPr>
      <t>地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址</t>
    </r>
  </si>
  <si>
    <t>ADDRESS</t>
  </si>
  <si>
    <r>
      <rPr>
        <sz val="10"/>
        <rFont val="宋体"/>
        <family val="3"/>
        <charset val="134"/>
      </rPr>
      <t>船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由</t>
    </r>
  </si>
  <si>
    <t>FROM</t>
  </si>
  <si>
    <r>
      <rPr>
        <sz val="10"/>
        <rFont val="宋体"/>
        <family val="3"/>
        <charset val="134"/>
      </rPr>
      <t>货</t>
    </r>
    <r>
      <rPr>
        <sz val="10"/>
        <rFont val="Times New Roman"/>
        <family val="1"/>
      </rPr>
      <t xml:space="preserve">                   </t>
    </r>
    <r>
      <rPr>
        <sz val="10"/>
        <rFont val="宋体"/>
        <family val="3"/>
        <charset val="134"/>
      </rPr>
      <t>名</t>
    </r>
  </si>
  <si>
    <r>
      <rPr>
        <sz val="10"/>
        <rFont val="宋体"/>
        <family val="3"/>
        <charset val="134"/>
      </rPr>
      <t>件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数</t>
    </r>
  </si>
  <si>
    <r>
      <rPr>
        <sz val="10"/>
        <rFont val="宋体"/>
        <family val="3"/>
        <charset val="134"/>
      </rPr>
      <t>数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量</t>
    </r>
  </si>
  <si>
    <r>
      <rPr>
        <sz val="10"/>
        <rFont val="宋体"/>
        <family val="3"/>
        <charset val="134"/>
      </rPr>
      <t>单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价</t>
    </r>
  </si>
  <si>
    <r>
      <rPr>
        <sz val="10"/>
        <rFont val="宋体"/>
        <family val="3"/>
        <charset val="134"/>
      </rPr>
      <t>金</t>
    </r>
    <r>
      <rPr>
        <sz val="10"/>
        <rFont val="Times New Roman"/>
        <family val="1"/>
      </rPr>
      <t xml:space="preserve">       </t>
    </r>
    <r>
      <rPr>
        <sz val="10"/>
        <rFont val="宋体"/>
        <family val="3"/>
        <charset val="134"/>
      </rPr>
      <t>额</t>
    </r>
  </si>
  <si>
    <t>DESCRIPTION</t>
  </si>
  <si>
    <t>PKG</t>
  </si>
  <si>
    <t>QTY</t>
  </si>
  <si>
    <t>UNIT PRICE</t>
  </si>
  <si>
    <t>AMOUNT</t>
  </si>
  <si>
    <t>TOTAL:</t>
  </si>
  <si>
    <t>CTNS</t>
  </si>
  <si>
    <t>PCS</t>
  </si>
  <si>
    <t>PACKING LIST</t>
  </si>
  <si>
    <r>
      <rPr>
        <sz val="10"/>
        <rFont val="宋体"/>
        <family val="3"/>
        <charset val="134"/>
      </rPr>
      <t>毛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</si>
  <si>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净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</si>
  <si>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体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</si>
  <si>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</si>
  <si>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</si>
  <si>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</si>
  <si>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</si>
  <si>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</si>
  <si>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</si>
  <si>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</si>
  <si>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</si>
  <si>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</si>
  <si>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</si>
  <si>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</si>
  <si>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</si>
  <si>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</si>
  <si>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</si>
  <si>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</si>
  <si>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/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</si>
  <si>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</si>
  <si>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</si>
  <si>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</si>
  <si>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</si>
  <si>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</si>
  <si>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</si>
  <si>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</si>
  <si>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</si>
  <si>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</si>
  <si>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</si>
  <si>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</si>
  <si>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</si>
  <si>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</si>
  <si>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</si>
  <si>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</si>
  <si>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</si>
  <si>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</si>
  <si>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</si>
  <si>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</si>
  <si>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</si>
  <si>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</si>
  <si>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</si>
  <si>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</si>
  <si>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</si>
  <si>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</si>
  <si>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</si>
  <si>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</si>
  <si>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</si>
  <si>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</si>
  <si>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</si>
  <si>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</si>
  <si>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数量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</si>
  <si>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</si>
  <si>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</si>
  <si>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</si>
  <si>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</si>
  <si>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</si>
  <si>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</si>
  <si>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</si>
  <si>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</si>
  <si>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</si>
  <si>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</si>
  <si>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</si>
  <si>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</si>
  <si>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</si>
  <si>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</si>
  <si>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</si>
  <si>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</si>
  <si>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</si>
  <si>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</si>
  <si>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</si>
  <si>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</si>
  <si>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</si>
  <si>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</si>
  <si>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</si>
  <si>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</si>
  <si>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</si>
  <si>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</si>
  <si>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s</t>
  </si>
  <si>
    <t>Commodity and specification</t>
  </si>
  <si>
    <t>Quantity</t>
  </si>
  <si>
    <t>Unit price</t>
  </si>
  <si>
    <t>Amount</t>
  </si>
  <si>
    <r>
      <rPr>
        <sz val="10.5"/>
        <rFont val="宋体"/>
        <family val="3"/>
        <charset val="134"/>
      </rPr>
      <t>1.More or less: with  5 % more or less both in amount &amp; quantity allowed at the seller</t>
    </r>
    <r>
      <rPr>
        <sz val="10.5"/>
        <rFont val="Arial"/>
        <family val="2"/>
      </rPr>
      <t>’</t>
    </r>
    <r>
      <rPr>
        <sz val="10.5"/>
        <rFont val="宋体"/>
        <family val="3"/>
        <charset val="134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</si>
  <si>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</si>
  <si>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</si>
  <si>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</si>
  <si>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</si>
  <si>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</si>
  <si>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</si>
  <si>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</si>
  <si>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_x000D_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</si>
  <si>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</si>
  <si>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</si>
  <si>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</si>
  <si>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</si>
  <si>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</si>
  <si>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</si>
  <si>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</si>
  <si>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</si>
  <si>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</si>
  <si>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</si>
  <si>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</si>
  <si>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</si>
  <si>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</si>
  <si>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</si>
  <si>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</si>
  <si>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ADD:#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</si>
  <si>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</si>
  <si>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</si>
  <si>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</si>
  <si>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</si>
  <si>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</si>
  <si>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</si>
  <si>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</si>
  <si>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</si>
  <si>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</si>
  <si>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</si>
  <si>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</si>
  <si>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</si>
  <si>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</si>
  <si>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</si>
  <si>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</si>
  <si>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</si>
  <si>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</si>
  <si>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</si>
  <si>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</si>
  <si>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</si>
  <si>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</si>
  <si>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</si>
  <si>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</si>
  <si>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</si>
  <si>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</si>
  <si>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</si>
  <si>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</si>
  <si>
    <t>{.declarationQuantity}</t>
    <phoneticPr fontId="31" type="noConversion"/>
  </si>
  <si>
    <t>{.customsDeclareElements}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</si>
</sst>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name val="宋体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22"/>
      <name val="宋体"/>
      <family val="3"/>
      <charset val="134"/>
    </font>
    <font>
      <sz val="18"/>
      <name val="楷体_GB2312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2"/>
      <name val="楷体_GB2312"/>
      <charset val="134"/>
    </font>
    <font>
      <sz val="12"/>
      <name val="微软雅黑"/>
      <family val="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Verdana"/>
      <family val="2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sz val="10"/>
      <name val="微软雅黑"/>
      <family val="2"/>
      <charset val="134"/>
    </font>
    <font>
      <b/>
      <sz val="24"/>
      <name val="宋体"/>
      <family val="3"/>
      <charset val="134"/>
    </font>
    <font>
      <b/>
      <sz val="16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5"/>
      <name val="宋体"/>
      <family val="3"/>
      <charset val="134"/>
    </font>
    <font>
      <sz val="12.5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.5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30" fillId="0" borderId="0"/>
    <xf numFmtId="0" fontId="28" fillId="0" borderId="0"/>
    <xf numFmtId="0" fontId="30" fillId="0" borderId="0">
      <alignment vertical="center"/>
    </xf>
  </cellStyleXfs>
  <cellXfs count="2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1" applyAlignment="1" applyProtection="1">
      <alignment vertical="center"/>
    </xf>
    <xf numFmtId="0" fontId="0" fillId="0" borderId="0" xfId="0" applyAlignment="1"/>
    <xf numFmtId="0" fontId="6" fillId="0" borderId="0" xfId="6" applyFont="1" applyAlignment="1">
      <alignment horizontal="left"/>
    </xf>
    <xf numFmtId="0" fontId="30" fillId="0" borderId="0" xfId="6" applyAlignment="1">
      <alignment horizontal="left"/>
    </xf>
    <xf numFmtId="0" fontId="7" fillId="0" borderId="0" xfId="6" applyFont="1" applyAlignment="1">
      <alignment vertical="top" wrapText="1"/>
    </xf>
    <xf numFmtId="0" fontId="30" fillId="0" borderId="0" xfId="6" applyAlignment="1">
      <alignment vertical="top" wrapText="1"/>
    </xf>
    <xf numFmtId="0" fontId="6" fillId="0" borderId="2" xfId="6" applyFont="1" applyBorder="1" applyAlignment="1">
      <alignment horizontal="left"/>
    </xf>
    <xf numFmtId="0" fontId="6" fillId="0" borderId="3" xfId="6" applyFont="1" applyBorder="1" applyAlignment="1">
      <alignment horizontal="left"/>
    </xf>
    <xf numFmtId="0" fontId="6" fillId="0" borderId="4" xfId="6" applyFont="1" applyBorder="1" applyAlignment="1">
      <alignment horizontal="left"/>
    </xf>
    <xf numFmtId="0" fontId="6" fillId="0" borderId="5" xfId="6" applyFont="1" applyBorder="1" applyAlignment="1">
      <alignment horizontal="right"/>
    </xf>
    <xf numFmtId="0" fontId="6" fillId="0" borderId="7" xfId="6" applyFont="1" applyBorder="1" applyAlignment="1">
      <alignment horizontal="right"/>
    </xf>
    <xf numFmtId="0" fontId="6" fillId="0" borderId="0" xfId="6" applyFont="1" applyAlignment="1">
      <alignment horizontal="left" wrapText="1"/>
    </xf>
    <xf numFmtId="0" fontId="30" fillId="2" borderId="0" xfId="6" applyFill="1" applyAlignment="1">
      <alignment horizontal="left"/>
    </xf>
    <xf numFmtId="0" fontId="6" fillId="2" borderId="0" xfId="6" applyFont="1" applyFill="1" applyAlignment="1">
      <alignment horizontal="left"/>
    </xf>
    <xf numFmtId="0" fontId="6" fillId="0" borderId="9" xfId="6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0" xfId="6" applyFont="1" applyAlignment="1">
      <alignment horizontal="right"/>
    </xf>
    <xf numFmtId="0" fontId="6" fillId="0" borderId="6" xfId="6" applyFont="1" applyBorder="1" applyAlignment="1">
      <alignment horizontal="left"/>
    </xf>
    <xf numFmtId="0" fontId="30" fillId="0" borderId="8" xfId="6" applyBorder="1" applyAlignment="1">
      <alignment horizontal="left"/>
    </xf>
    <xf numFmtId="0" fontId="6" fillId="0" borderId="7" xfId="6" applyFont="1" applyBorder="1" applyAlignment="1">
      <alignment horizontal="right" vertical="center"/>
    </xf>
    <xf numFmtId="0" fontId="6" fillId="0" borderId="8" xfId="6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 shrinkToFit="1"/>
    </xf>
    <xf numFmtId="0" fontId="9" fillId="3" borderId="16" xfId="0" applyFont="1" applyFill="1" applyBorder="1" applyAlignment="1">
      <alignment vertical="center" wrapText="1" shrinkToFit="1"/>
    </xf>
    <xf numFmtId="0" fontId="9" fillId="3" borderId="17" xfId="0" applyFont="1" applyFill="1" applyBorder="1" applyAlignment="1">
      <alignment vertical="center" shrinkToFit="1"/>
    </xf>
    <xf numFmtId="0" fontId="9" fillId="3" borderId="18" xfId="0" applyFont="1" applyFill="1" applyBorder="1" applyAlignment="1">
      <alignment vertical="center" wrapText="1" shrinkToFit="1"/>
    </xf>
    <xf numFmtId="0" fontId="9" fillId="3" borderId="20" xfId="0" applyFont="1" applyFill="1" applyBorder="1" applyAlignment="1">
      <alignment vertical="center" shrinkToFit="1"/>
    </xf>
    <xf numFmtId="0" fontId="9" fillId="3" borderId="21" xfId="0" applyFont="1" applyFill="1" applyBorder="1" applyAlignment="1">
      <alignment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3" borderId="23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 wrapText="1" shrinkToFit="1"/>
    </xf>
    <xf numFmtId="0" fontId="9" fillId="3" borderId="24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23" fillId="0" borderId="0" xfId="0" applyFont="1" applyAlignment="1"/>
    <xf numFmtId="0" fontId="1" fillId="0" borderId="13" xfId="0" applyFont="1" applyBorder="1" applyAlignment="1">
      <alignment horizontal="left"/>
    </xf>
    <xf numFmtId="0" fontId="23" fillId="0" borderId="11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/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4" xfId="0" applyFont="1" applyBorder="1" applyAlignment="1"/>
    <xf numFmtId="0" fontId="1" fillId="0" borderId="13" xfId="0" applyFont="1" applyBorder="1" applyAlignment="1"/>
    <xf numFmtId="0" fontId="1" fillId="0" borderId="24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right"/>
    </xf>
    <xf numFmtId="0" fontId="1" fillId="0" borderId="18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0" fillId="0" borderId="18" xfId="0" applyBorder="1" applyAlignment="1"/>
    <xf numFmtId="0" fontId="0" fillId="0" borderId="13" xfId="0" applyBorder="1" applyAlignment="1"/>
    <xf numFmtId="0" fontId="0" fillId="0" borderId="13" xfId="0" applyBorder="1" applyAlignment="1">
      <alignment horizontal="right"/>
    </xf>
    <xf numFmtId="0" fontId="1" fillId="0" borderId="13" xfId="0" applyFont="1" applyBorder="1" applyAlignment="1">
      <alignment horizontal="right"/>
    </xf>
    <xf numFmtId="0" fontId="23" fillId="0" borderId="16" xfId="0" applyFont="1" applyBorder="1" applyAlignment="1">
      <alignment horizontal="center"/>
    </xf>
    <xf numFmtId="0" fontId="1" fillId="0" borderId="17" xfId="6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>
      <alignment vertical="center"/>
    </xf>
    <xf numFmtId="0" fontId="1" fillId="0" borderId="18" xfId="6" applyFont="1" applyBorder="1" applyAlignment="1">
      <alignment horizontal="left"/>
    </xf>
    <xf numFmtId="0" fontId="1" fillId="0" borderId="20" xfId="6" applyFont="1" applyBorder="1" applyAlignment="1">
      <alignment horizontal="right"/>
    </xf>
    <xf numFmtId="0" fontId="1" fillId="0" borderId="21" xfId="6" applyFont="1" applyBorder="1" applyAlignment="1">
      <alignment horizontal="left"/>
    </xf>
    <xf numFmtId="0" fontId="27" fillId="6" borderId="26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27" fillId="4" borderId="27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0" fillId="0" borderId="0" xfId="0" applyAlignment="1"/>
    <xf numFmtId="0" fontId="26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13" xfId="0" applyBorder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9" fillId="3" borderId="2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3" borderId="12" xfId="0" applyFont="1" applyFill="1" applyBorder="1" applyAlignment="1">
      <alignment horizontal="left" vertical="center" shrinkToFit="1"/>
    </xf>
    <xf numFmtId="0" fontId="9" fillId="3" borderId="16" xfId="0" applyFont="1" applyFill="1" applyBorder="1" applyAlignment="1">
      <alignment horizontal="left" vertical="center" shrinkToFit="1"/>
    </xf>
    <xf numFmtId="0" fontId="9" fillId="3" borderId="17" xfId="0" applyFont="1" applyFill="1" applyBorder="1" applyAlignment="1">
      <alignment horizontal="left" vertical="center" shrinkToFit="1"/>
    </xf>
    <xf numFmtId="0" fontId="9" fillId="3" borderId="18" xfId="0" applyFont="1" applyFill="1" applyBorder="1" applyAlignment="1">
      <alignment horizontal="left" vertical="center" shrinkToFit="1"/>
    </xf>
    <xf numFmtId="0" fontId="9" fillId="3" borderId="20" xfId="0" applyFont="1" applyFill="1" applyBorder="1" applyAlignment="1">
      <alignment horizontal="left" vertical="center" shrinkToFit="1"/>
    </xf>
    <xf numFmtId="0" fontId="9" fillId="3" borderId="21" xfId="0" applyFont="1" applyFill="1" applyBorder="1" applyAlignment="1">
      <alignment horizontal="left" vertical="center" shrinkToFit="1"/>
    </xf>
    <xf numFmtId="0" fontId="9" fillId="3" borderId="12" xfId="0" applyFont="1" applyFill="1" applyBorder="1" applyAlignment="1">
      <alignment horizontal="left" vertical="center" wrapText="1" shrinkToFit="1"/>
    </xf>
    <xf numFmtId="0" fontId="9" fillId="3" borderId="16" xfId="0" applyFont="1" applyFill="1" applyBorder="1" applyAlignment="1">
      <alignment horizontal="left" vertical="center" wrapText="1" shrinkToFit="1"/>
    </xf>
    <xf numFmtId="0" fontId="9" fillId="3" borderId="17" xfId="0" applyFont="1" applyFill="1" applyBorder="1" applyAlignment="1">
      <alignment horizontal="left" vertical="center" wrapText="1" shrinkToFit="1"/>
    </xf>
    <xf numFmtId="0" fontId="9" fillId="3" borderId="18" xfId="0" applyFont="1" applyFill="1" applyBorder="1" applyAlignment="1">
      <alignment horizontal="left" vertical="center" wrapText="1" shrinkToFit="1"/>
    </xf>
    <xf numFmtId="0" fontId="9" fillId="3" borderId="20" xfId="0" applyFont="1" applyFill="1" applyBorder="1" applyAlignment="1">
      <alignment horizontal="left" vertical="center" wrapText="1" shrinkToFit="1"/>
    </xf>
    <xf numFmtId="0" fontId="9" fillId="3" borderId="21" xfId="0" applyFont="1" applyFill="1" applyBorder="1" applyAlignment="1">
      <alignment horizontal="left"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4" fillId="3" borderId="22" xfId="5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 shrinkToFit="1"/>
    </xf>
    <xf numFmtId="0" fontId="1" fillId="3" borderId="22" xfId="5" applyFont="1" applyFill="1" applyBorder="1" applyAlignment="1">
      <alignment horizontal="center" vertical="center"/>
    </xf>
    <xf numFmtId="0" fontId="14" fillId="3" borderId="22" xfId="5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17" fillId="3" borderId="22" xfId="5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shrinkToFit="1"/>
    </xf>
    <xf numFmtId="0" fontId="17" fillId="3" borderId="12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17" fillId="3" borderId="17" xfId="5" applyFont="1" applyFill="1" applyBorder="1" applyAlignment="1">
      <alignment horizontal="center" vertical="center"/>
    </xf>
    <xf numFmtId="0" fontId="17" fillId="3" borderId="18" xfId="5" applyFont="1" applyFill="1" applyBorder="1" applyAlignment="1">
      <alignment horizontal="center" vertical="center"/>
    </xf>
    <xf numFmtId="0" fontId="17" fillId="3" borderId="20" xfId="5" applyFont="1" applyFill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top"/>
    </xf>
    <xf numFmtId="0" fontId="12" fillId="3" borderId="18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left" vertical="top"/>
    </xf>
    <xf numFmtId="0" fontId="12" fillId="3" borderId="2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5" fillId="0" borderId="0" xfId="6" applyFont="1" applyAlignment="1">
      <alignment horizontal="center"/>
    </xf>
    <xf numFmtId="0" fontId="30" fillId="0" borderId="0" xfId="6" applyAlignment="1">
      <alignment horizontal="left"/>
    </xf>
    <xf numFmtId="0" fontId="6" fillId="0" borderId="0" xfId="6" applyFont="1" applyAlignment="1">
      <alignment horizontal="left"/>
    </xf>
    <xf numFmtId="0" fontId="6" fillId="0" borderId="1" xfId="6" applyFont="1" applyBorder="1" applyAlignment="1">
      <alignment horizontal="left"/>
    </xf>
    <xf numFmtId="0" fontId="6" fillId="0" borderId="4" xfId="6" applyFont="1" applyBorder="1" applyAlignment="1">
      <alignment horizontal="center"/>
    </xf>
    <xf numFmtId="0" fontId="6" fillId="0" borderId="9" xfId="6" applyFont="1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6" fillId="0" borderId="10" xfId="6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6" xfId="6" applyFont="1" applyBorder="1" applyAlignment="1">
      <alignment horizontal="center"/>
    </xf>
    <xf numFmtId="0" fontId="6" fillId="0" borderId="4" xfId="6" applyFont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7" xfId="6" applyFont="1" applyBorder="1" applyAlignment="1">
      <alignment horizontal="center"/>
    </xf>
    <xf numFmtId="0" fontId="6" fillId="0" borderId="8" xfId="6" applyFont="1" applyBorder="1" applyAlignment="1">
      <alignment horizontal="center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center" vertical="center"/>
    </xf>
    <xf numFmtId="0" fontId="6" fillId="0" borderId="0" xfId="6" applyFont="1" applyAlignment="1">
      <alignment horizontal="left" wrapText="1"/>
    </xf>
    <xf numFmtId="0" fontId="6" fillId="2" borderId="0" xfId="6" applyFont="1" applyFill="1" applyAlignment="1">
      <alignment horizontal="left"/>
    </xf>
    <xf numFmtId="0" fontId="30" fillId="0" borderId="0" xfId="0" applyFont="1" applyAlignment="1"/>
  </cellXfs>
  <cellStyles count="7">
    <cellStyle name="常规" xfId="0" builtinId="0"/>
    <cellStyle name="常规 2 2 2" xfId="3" xr:uid="{00000000-0005-0000-0000-000032000000}"/>
    <cellStyle name="常规 2 2 2 2 2 2" xfId="2" xr:uid="{00000000-0005-0000-0000-000031000000}"/>
    <cellStyle name="常规 2 3 2 2" xfId="4" xr:uid="{00000000-0005-0000-0000-000033000000}"/>
    <cellStyle name="常规 4" xfId="5" xr:uid="{00000000-0005-0000-0000-000034000000}"/>
    <cellStyle name="常规 5" xfId="6" xr:uid="{00000000-0005-0000-0000-000035000000}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9999CC"/>
      <color rgb="FFFFFF00"/>
      <color rgb="FFC0C0C0"/>
      <color rgb="FFCCFFCC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36</xdr:row>
      <xdr:rowOff>189865</xdr:rowOff>
    </xdr:from>
    <xdr:to>
      <xdr:col>9</xdr:col>
      <xdr:colOff>429260</xdr:colOff>
      <xdr:row>42</xdr:row>
      <xdr:rowOff>113665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2155" y="7339965"/>
          <a:ext cx="2172335" cy="1241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33</xdr:row>
      <xdr:rowOff>44450</xdr:rowOff>
    </xdr:from>
    <xdr:to>
      <xdr:col>7</xdr:col>
      <xdr:colOff>619125</xdr:colOff>
      <xdr:row>38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9630" y="7503795"/>
          <a:ext cx="2172335" cy="1241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139700</xdr:colOff>
      <xdr:row>41</xdr:row>
      <xdr:rowOff>146050</xdr:rowOff>
    </xdr:from>
    <xdr:to>
      <xdr:col>9</xdr:col>
      <xdr:colOff>319405</xdr:colOff>
      <xdr:row>50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3620" y="9389110"/>
          <a:ext cx="2508885" cy="1483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3</xdr:col>
      <xdr:colOff>409575</xdr:colOff>
      <xdr:row>16</xdr:row>
      <xdr:rowOff>123825</xdr:rowOff>
    </xdr:to>
    <xdr:pic>
      <xdr:nvPicPr>
        <xdr:cNvPr id="14637" name="Picture 1">
          <a:extLst>
            <a:ext uri="{FF2B5EF4-FFF2-40B4-BE49-F238E27FC236}">
              <a16:creationId xmlns:a16="http://schemas.microsoft.com/office/drawing/2014/main" id="{00000000-0008-0000-0500-00002D3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3784600"/>
          <a:ext cx="2178685" cy="124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877570</xdr:colOff>
      <xdr:row>10</xdr:row>
      <xdr:rowOff>152400</xdr:rowOff>
    </xdr:from>
    <xdr:to>
      <xdr:col>4</xdr:col>
      <xdr:colOff>0</xdr:colOff>
      <xdr:row>18</xdr:row>
      <xdr:rowOff>85725</xdr:rowOff>
    </xdr:to>
    <xdr:pic>
      <xdr:nvPicPr>
        <xdr:cNvPr id="14638" name="Picture 1">
          <a:extLst>
            <a:ext uri="{FF2B5EF4-FFF2-40B4-BE49-F238E27FC236}">
              <a16:creationId xmlns:a16="http://schemas.microsoft.com/office/drawing/2014/main" id="{00000000-0008-0000-0500-00002E3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7130" y="3713480"/>
          <a:ext cx="2438400" cy="1721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pane ySplit="1" topLeftCell="A2" activePane="bottomLeft" state="frozen"/>
      <selection pane="bottomLeft" activeCell="D19" sqref="D19"/>
    </sheetView>
  </sheetViews>
  <sheetFormatPr defaultColWidth="9.125" defaultRowHeight="14.25"/>
  <cols>
    <col min="1" max="1" width="15.625" style="4" customWidth="1"/>
    <col min="2" max="2" width="31.25" style="4" customWidth="1"/>
    <col min="3" max="3" width="15.625" style="4" customWidth="1"/>
    <col min="4" max="4" width="31.25" style="4" customWidth="1"/>
    <col min="5" max="5" width="15.625" style="4" customWidth="1"/>
    <col min="6" max="6" width="31.25" style="4" customWidth="1"/>
    <col min="7" max="7" width="15.625" style="4" customWidth="1"/>
    <col min="8" max="8" width="31.25" style="4" customWidth="1"/>
    <col min="9" max="9" width="10.625" style="4" customWidth="1"/>
    <col min="10" max="14" width="9" style="4"/>
    <col min="15" max="15" width="11.625" style="4"/>
    <col min="16" max="32" width="9" style="4"/>
    <col min="33" max="16384" width="9.125" style="4"/>
  </cols>
  <sheetData>
    <row r="1" spans="1:22" ht="20.100000000000001" customHeight="1">
      <c r="A1" s="102" t="s">
        <v>0</v>
      </c>
      <c r="B1" s="103"/>
      <c r="C1" s="103"/>
      <c r="D1" s="103"/>
      <c r="E1" s="103"/>
      <c r="F1" s="103"/>
      <c r="G1" s="103"/>
      <c r="H1" s="103"/>
    </row>
    <row r="2" spans="1:22" ht="17.45" customHeight="1">
      <c r="A2" s="104" t="s">
        <v>1</v>
      </c>
      <c r="B2" s="103"/>
    </row>
    <row r="3" spans="1:22">
      <c r="A3" s="99" t="s">
        <v>2</v>
      </c>
      <c r="B3" s="57" t="s">
        <v>3</v>
      </c>
      <c r="C3" s="99" t="s">
        <v>4</v>
      </c>
      <c r="D3" s="57" t="s">
        <v>5</v>
      </c>
      <c r="E3" s="99" t="s">
        <v>6</v>
      </c>
      <c r="F3" s="57" t="s">
        <v>7</v>
      </c>
      <c r="G3" s="99" t="s">
        <v>8</v>
      </c>
      <c r="H3" s="57" t="s">
        <v>9</v>
      </c>
    </row>
    <row r="4" spans="1:22">
      <c r="A4" s="99" t="s">
        <v>10</v>
      </c>
      <c r="B4" s="57" t="s">
        <v>11</v>
      </c>
      <c r="C4" s="99" t="s">
        <v>12</v>
      </c>
      <c r="D4" s="57"/>
      <c r="E4" s="99" t="s">
        <v>13</v>
      </c>
      <c r="F4" s="57"/>
      <c r="G4" s="99" t="s">
        <v>14</v>
      </c>
      <c r="H4" s="57" t="s">
        <v>15</v>
      </c>
    </row>
    <row r="5" spans="1:22">
      <c r="A5" s="99" t="s">
        <v>16</v>
      </c>
      <c r="B5" s="57" t="s">
        <v>17</v>
      </c>
      <c r="C5" s="99" t="s">
        <v>18</v>
      </c>
      <c r="D5" s="57" t="s">
        <v>19</v>
      </c>
      <c r="E5" s="99" t="s">
        <v>20</v>
      </c>
      <c r="F5" s="57" t="s">
        <v>21</v>
      </c>
      <c r="G5" s="99" t="s">
        <v>22</v>
      </c>
      <c r="H5" s="57" t="s">
        <v>23</v>
      </c>
    </row>
    <row r="6" spans="1:22">
      <c r="A6" s="99" t="s">
        <v>24</v>
      </c>
      <c r="B6" s="57" t="s">
        <v>25</v>
      </c>
      <c r="C6" s="99" t="s">
        <v>26</v>
      </c>
      <c r="D6" s="57" t="s">
        <v>27</v>
      </c>
      <c r="E6" s="99" t="s">
        <v>28</v>
      </c>
      <c r="F6" s="57" t="s">
        <v>29</v>
      </c>
      <c r="G6" s="99" t="s">
        <v>30</v>
      </c>
      <c r="H6" s="57" t="s">
        <v>31</v>
      </c>
    </row>
    <row r="7" spans="1:22">
      <c r="A7" s="99" t="s">
        <v>32</v>
      </c>
      <c r="B7" s="57" t="s">
        <v>33</v>
      </c>
      <c r="C7" s="99" t="s">
        <v>34</v>
      </c>
      <c r="D7" s="57"/>
      <c r="E7" s="99" t="s">
        <v>35</v>
      </c>
      <c r="F7" s="57" t="s">
        <v>36</v>
      </c>
      <c r="G7" s="99" t="s">
        <v>37</v>
      </c>
      <c r="H7" s="57" t="s">
        <v>38</v>
      </c>
    </row>
    <row r="8" spans="1:22">
      <c r="A8" s="99" t="s">
        <v>39</v>
      </c>
      <c r="B8" s="57" t="s">
        <v>40</v>
      </c>
      <c r="C8" s="99" t="s">
        <v>41</v>
      </c>
      <c r="D8" s="57" t="s">
        <v>42</v>
      </c>
      <c r="E8" s="99" t="s">
        <v>43</v>
      </c>
      <c r="F8" s="57" t="s">
        <v>44</v>
      </c>
    </row>
    <row r="9" spans="1:22" ht="17.45" customHeight="1">
      <c r="A9" s="104" t="s">
        <v>45</v>
      </c>
      <c r="B9" s="103"/>
    </row>
    <row r="10" spans="1:22">
      <c r="A10" s="99" t="s">
        <v>46</v>
      </c>
      <c r="B10" s="100" t="s">
        <v>47</v>
      </c>
      <c r="C10" s="99" t="s">
        <v>48</v>
      </c>
      <c r="D10" s="100" t="s">
        <v>49</v>
      </c>
      <c r="E10" s="99" t="s">
        <v>50</v>
      </c>
      <c r="F10" s="100" t="s">
        <v>51</v>
      </c>
      <c r="G10" s="99" t="s">
        <v>52</v>
      </c>
      <c r="H10" s="100" t="s">
        <v>53</v>
      </c>
    </row>
    <row r="11" spans="1:22">
      <c r="A11" s="99" t="s">
        <v>54</v>
      </c>
      <c r="B11" s="100" t="s">
        <v>55</v>
      </c>
      <c r="C11" s="99" t="s">
        <v>56</v>
      </c>
      <c r="D11" s="100" t="s">
        <v>57</v>
      </c>
    </row>
    <row r="12" spans="1:22" ht="17.45" customHeight="1">
      <c r="A12" s="104" t="s">
        <v>58</v>
      </c>
      <c r="B12" s="103"/>
    </row>
    <row r="13" spans="1:22">
      <c r="A13" s="99" t="s">
        <v>59</v>
      </c>
      <c r="B13" s="4" t="s">
        <v>60</v>
      </c>
      <c r="C13" s="99" t="s">
        <v>61</v>
      </c>
      <c r="D13" s="4" t="s">
        <v>62</v>
      </c>
      <c r="E13" s="99" t="s">
        <v>63</v>
      </c>
      <c r="F13" s="100" t="s">
        <v>64</v>
      </c>
      <c r="G13" s="99" t="s">
        <v>65</v>
      </c>
      <c r="H13" s="100" t="s">
        <v>66</v>
      </c>
    </row>
    <row r="14" spans="1:22">
      <c r="A14" s="99" t="s">
        <v>67</v>
      </c>
      <c r="B14" s="4" t="s">
        <v>68</v>
      </c>
    </row>
    <row r="16" spans="1:22" ht="15" customHeight="1">
      <c r="A16" s="101" t="s">
        <v>69</v>
      </c>
      <c r="B16" s="101" t="s">
        <v>70</v>
      </c>
      <c r="C16" s="101" t="s">
        <v>71</v>
      </c>
      <c r="D16" s="101" t="s">
        <v>72</v>
      </c>
      <c r="E16" s="101" t="s">
        <v>73</v>
      </c>
      <c r="F16" s="101" t="s">
        <v>74</v>
      </c>
      <c r="G16" s="101" t="s">
        <v>75</v>
      </c>
      <c r="H16" s="101" t="s">
        <v>76</v>
      </c>
      <c r="I16" s="101" t="s">
        <v>77</v>
      </c>
      <c r="J16" s="101" t="s">
        <v>78</v>
      </c>
      <c r="K16" s="101" t="s">
        <v>79</v>
      </c>
      <c r="L16" s="101" t="s">
        <v>80</v>
      </c>
      <c r="M16" s="101" t="s">
        <v>81</v>
      </c>
      <c r="N16" s="101" t="s">
        <v>82</v>
      </c>
      <c r="O16" s="101" t="s">
        <v>83</v>
      </c>
      <c r="P16" s="101" t="s">
        <v>84</v>
      </c>
      <c r="Q16" s="101" t="s">
        <v>85</v>
      </c>
      <c r="R16" s="101" t="s">
        <v>86</v>
      </c>
      <c r="S16" s="101" t="s">
        <v>87</v>
      </c>
      <c r="T16" s="101" t="s">
        <v>88</v>
      </c>
      <c r="U16" s="101" t="s">
        <v>89</v>
      </c>
      <c r="V16" s="101" t="s">
        <v>18</v>
      </c>
    </row>
    <row r="17" spans="1:22">
      <c r="A17" s="4" t="s">
        <v>90</v>
      </c>
      <c r="B17" s="4" t="s">
        <v>91</v>
      </c>
      <c r="C17" s="227" t="s">
        <v>274</v>
      </c>
      <c r="D17" s="4" t="s">
        <v>92</v>
      </c>
      <c r="E17" s="4" t="s">
        <v>93</v>
      </c>
      <c r="F17" s="4" t="s">
        <v>94</v>
      </c>
      <c r="G17" s="4" t="s">
        <v>95</v>
      </c>
      <c r="H17" s="4" t="s">
        <v>96</v>
      </c>
      <c r="I17" s="227" t="s">
        <v>273</v>
      </c>
      <c r="J17" s="4" t="s">
        <v>97</v>
      </c>
      <c r="K17" s="4" t="s">
        <v>98</v>
      </c>
      <c r="L17" s="4" t="s">
        <v>99</v>
      </c>
      <c r="M17" s="4" t="s">
        <v>100</v>
      </c>
      <c r="N17" s="4" t="s">
        <v>101</v>
      </c>
      <c r="O17" s="4" t="s">
        <v>102</v>
      </c>
      <c r="P17" s="4" t="s">
        <v>103</v>
      </c>
      <c r="Q17" s="4" t="s">
        <v>104</v>
      </c>
      <c r="R17" s="4" t="s">
        <v>105</v>
      </c>
      <c r="S17" s="4" t="s">
        <v>106</v>
      </c>
      <c r="T17" s="4" t="s">
        <v>107</v>
      </c>
      <c r="U17" s="4" t="s">
        <v>108</v>
      </c>
      <c r="V17" s="4" t="s">
        <v>109</v>
      </c>
    </row>
  </sheetData>
  <mergeCells count="4">
    <mergeCell ref="A1:H1"/>
    <mergeCell ref="A2:B2"/>
    <mergeCell ref="A9:B9"/>
    <mergeCell ref="A12:B1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6"/>
  <sheetViews>
    <sheetView showZeros="0" topLeftCell="A17" workbookViewId="0">
      <selection activeCell="J38" sqref="J38"/>
    </sheetView>
  </sheetViews>
  <sheetFormatPr defaultColWidth="9.125" defaultRowHeight="14.25"/>
  <cols>
    <col min="1" max="1" width="13.125" style="4" customWidth="1"/>
    <col min="2" max="2" width="33.625" style="4" customWidth="1"/>
    <col min="3" max="3" width="6.125" style="4" customWidth="1"/>
    <col min="4" max="4" width="5.5" style="4" customWidth="1"/>
    <col min="5" max="5" width="6.75" style="4" customWidth="1"/>
    <col min="6" max="7" width="4.625" style="4" customWidth="1"/>
    <col min="8" max="8" width="9" style="4" customWidth="1"/>
    <col min="9" max="9" width="5" style="4" customWidth="1"/>
    <col min="10" max="10" width="10.625" style="4" customWidth="1"/>
    <col min="11" max="32" width="9" style="4"/>
    <col min="33" max="16384" width="9.125" style="4"/>
  </cols>
  <sheetData>
    <row r="1" spans="1:12" ht="31.5">
      <c r="A1" s="105" t="str">
        <f>报关明细!B13</f>
        <v>{companyTitle}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2" ht="20.25">
      <c r="A2" s="106" t="e">
        <f>VLOOKUP(A1,资料!A3:D8,2,0)</f>
        <v>#N/A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2" ht="15">
      <c r="A3" s="107" t="e">
        <f>VLOOKUP(A1,资料!A3:D8,3,0)</f>
        <v>#N/A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2" ht="18.75">
      <c r="A4" s="108"/>
      <c r="B4" s="108"/>
      <c r="C4" s="108"/>
      <c r="D4" s="108"/>
      <c r="E4" s="108"/>
      <c r="F4" s="108"/>
      <c r="G4" s="108"/>
      <c r="H4" s="108"/>
      <c r="I4" s="108"/>
      <c r="J4" s="108"/>
      <c r="L4" s="94"/>
    </row>
    <row r="5" spans="1:12" ht="18.75">
      <c r="A5" s="109" t="s">
        <v>110</v>
      </c>
      <c r="B5" s="109"/>
      <c r="C5" s="109"/>
      <c r="D5" s="109"/>
      <c r="E5" s="109"/>
      <c r="F5" s="109"/>
      <c r="G5" s="109"/>
      <c r="H5" s="109"/>
      <c r="I5" s="109"/>
      <c r="J5" s="109"/>
    </row>
    <row r="6" spans="1:12" ht="6.75" customHeight="1">
      <c r="A6" s="55"/>
      <c r="B6" s="55"/>
      <c r="C6" s="55"/>
      <c r="D6" s="55"/>
      <c r="E6" s="55"/>
      <c r="F6" s="55"/>
      <c r="G6" s="55"/>
      <c r="H6" s="55"/>
    </row>
    <row r="7" spans="1:12" ht="12" customHeight="1">
      <c r="A7" s="56" t="s">
        <v>111</v>
      </c>
      <c r="B7" s="122"/>
      <c r="E7" s="56" t="s">
        <v>112</v>
      </c>
      <c r="F7" s="56"/>
      <c r="G7" s="126" t="str">
        <f>报关明细!B3</f>
        <v>{invoiceCode}</v>
      </c>
      <c r="H7" s="126"/>
      <c r="I7" s="126"/>
      <c r="J7" s="126"/>
      <c r="K7"/>
    </row>
    <row r="8" spans="1:12" ht="12" customHeight="1">
      <c r="A8" s="58" t="s">
        <v>113</v>
      </c>
      <c r="B8" s="123"/>
      <c r="E8" s="58" t="s">
        <v>114</v>
      </c>
      <c r="F8" s="58"/>
      <c r="G8" s="127"/>
      <c r="H8" s="127"/>
      <c r="I8" s="127"/>
      <c r="J8" s="127"/>
      <c r="K8"/>
    </row>
    <row r="9" spans="1:12" ht="9" customHeight="1"/>
    <row r="10" spans="1:12" ht="12" customHeight="1">
      <c r="A10" s="56" t="s">
        <v>115</v>
      </c>
      <c r="B10" s="124" t="str">
        <f>报关明细!B5</f>
        <v>{saleContractCode}</v>
      </c>
      <c r="E10" s="56" t="s">
        <v>116</v>
      </c>
      <c r="F10" s="56"/>
      <c r="G10" s="128" t="str">
        <f>LEFT(报关明细!F3,10)</f>
        <v>{inputDate</v>
      </c>
      <c r="H10" s="128"/>
      <c r="I10" s="128"/>
      <c r="J10" s="128"/>
      <c r="K10" s="95"/>
    </row>
    <row r="11" spans="1:12" ht="12.75" customHeight="1">
      <c r="A11" s="58" t="s">
        <v>117</v>
      </c>
      <c r="B11" s="125"/>
      <c r="E11" s="58" t="s">
        <v>118</v>
      </c>
      <c r="F11" s="58"/>
      <c r="G11" s="129"/>
      <c r="H11" s="129"/>
      <c r="I11" s="129"/>
      <c r="J11" s="129"/>
      <c r="K11" s="95"/>
    </row>
    <row r="12" spans="1:12" ht="8.25" customHeight="1"/>
    <row r="13" spans="1:12" ht="11.25" customHeight="1">
      <c r="A13" s="56" t="s">
        <v>119</v>
      </c>
      <c r="B13" s="126" t="str">
        <f>报关明细!D6</f>
        <v>{custName}</v>
      </c>
      <c r="C13" s="126"/>
      <c r="D13" s="126"/>
      <c r="E13" s="126"/>
      <c r="F13" s="126"/>
      <c r="G13" s="126"/>
      <c r="H13" s="126"/>
      <c r="I13" s="126"/>
      <c r="J13" s="126"/>
    </row>
    <row r="14" spans="1:12" ht="13.5" customHeight="1">
      <c r="A14" s="58" t="s">
        <v>120</v>
      </c>
      <c r="B14" s="127"/>
      <c r="C14" s="127"/>
      <c r="D14" s="127"/>
      <c r="E14" s="127"/>
      <c r="F14" s="127"/>
      <c r="G14" s="127"/>
      <c r="H14" s="127"/>
      <c r="I14" s="127"/>
      <c r="J14" s="127"/>
    </row>
    <row r="15" spans="1:12" ht="10.5" customHeight="1"/>
    <row r="16" spans="1:12" ht="10.5" customHeight="1">
      <c r="A16" s="56" t="s">
        <v>121</v>
      </c>
      <c r="B16" s="126"/>
      <c r="C16" s="126"/>
      <c r="D16" s="126"/>
      <c r="E16" s="126"/>
      <c r="F16" s="126"/>
      <c r="G16" s="126"/>
      <c r="H16" s="126"/>
      <c r="I16" s="126"/>
      <c r="J16" s="126"/>
    </row>
    <row r="17" spans="1:10" ht="12.75" customHeight="1">
      <c r="A17" s="58" t="s">
        <v>122</v>
      </c>
      <c r="B17" s="127"/>
      <c r="C17" s="127"/>
      <c r="D17" s="127"/>
      <c r="E17" s="127"/>
      <c r="F17" s="127"/>
      <c r="G17" s="127"/>
      <c r="H17" s="127"/>
      <c r="I17" s="127"/>
      <c r="J17" s="127"/>
    </row>
    <row r="18" spans="1:10" ht="9.75" customHeight="1"/>
    <row r="19" spans="1:10" ht="11.25" customHeight="1">
      <c r="A19" s="56" t="s">
        <v>123</v>
      </c>
      <c r="B19" s="126" t="str">
        <f>报关明细!B8</f>
        <v>{transportType}</v>
      </c>
      <c r="C19" s="126"/>
      <c r="D19" s="126"/>
      <c r="E19" s="126"/>
      <c r="F19" s="126"/>
      <c r="G19" s="126"/>
      <c r="H19" s="126"/>
      <c r="I19" s="126"/>
      <c r="J19" s="126"/>
    </row>
    <row r="20" spans="1:10" ht="14.25" customHeight="1">
      <c r="A20" s="58" t="s">
        <v>124</v>
      </c>
      <c r="B20" s="127"/>
      <c r="C20" s="127"/>
      <c r="D20" s="127"/>
      <c r="E20" s="127"/>
      <c r="F20" s="127"/>
      <c r="G20" s="127"/>
      <c r="H20" s="127"/>
      <c r="I20" s="127"/>
      <c r="J20" s="127"/>
    </row>
    <row r="22" spans="1:10" ht="15">
      <c r="A22" s="81"/>
      <c r="B22" s="82" t="s">
        <v>125</v>
      </c>
      <c r="C22" s="110" t="s">
        <v>126</v>
      </c>
      <c r="D22" s="111"/>
      <c r="E22" s="110" t="s">
        <v>127</v>
      </c>
      <c r="F22" s="111"/>
      <c r="G22" s="110" t="s">
        <v>128</v>
      </c>
      <c r="H22" s="111"/>
      <c r="I22" s="110" t="s">
        <v>129</v>
      </c>
      <c r="J22" s="111"/>
    </row>
    <row r="23" spans="1:10" ht="15">
      <c r="A23" s="83"/>
      <c r="B23" s="84" t="s">
        <v>130</v>
      </c>
      <c r="C23" s="112" t="s">
        <v>131</v>
      </c>
      <c r="D23" s="113"/>
      <c r="E23" s="114" t="s">
        <v>132</v>
      </c>
      <c r="F23" s="115"/>
      <c r="G23" s="112" t="s">
        <v>133</v>
      </c>
      <c r="H23" s="113"/>
      <c r="I23" s="112" t="s">
        <v>134</v>
      </c>
      <c r="J23" s="113"/>
    </row>
    <row r="24" spans="1:10" ht="15">
      <c r="A24" s="65"/>
      <c r="B24" s="75"/>
      <c r="C24" s="116"/>
      <c r="D24" s="117"/>
      <c r="E24" s="85"/>
      <c r="F24" s="91"/>
      <c r="G24" s="118" t="str">
        <f>报关明细!H6&amp;"  "&amp;报关明细!D8</f>
        <v>{settlementTermType}  {departurePortName}</v>
      </c>
      <c r="H24" s="119"/>
      <c r="I24" s="116"/>
      <c r="J24" s="120"/>
    </row>
    <row r="25" spans="1:10">
      <c r="A25" s="62"/>
      <c r="B25" s="86" t="str">
        <f>INDEX(报关明细!$A$17:$V$101,ROW()-24,5)</f>
        <v>{.customsDeclarationNameEng}</v>
      </c>
      <c r="C25" s="79" t="str">
        <f>INDEX(报关明细!$A$17:$V$101,ROW()-24,10)</f>
        <v>{.boxCount}</v>
      </c>
      <c r="D25" s="80" t="str">
        <f>INDEX(报关明细!$A$17:$V$101,ROW()-24,11)</f>
        <v>{.unitPerOuterbox}</v>
      </c>
      <c r="E25" s="71" t="str">
        <f>INDEX(报关明细!$A$17:$V$101,ROW()-24,9)</f>
        <v>{.declarationQuantity}</v>
      </c>
      <c r="F25" s="80" t="str">
        <f>IF(E25=0,"","PCS")</f>
        <v>PCS</v>
      </c>
      <c r="G25" s="92" t="str">
        <f>报关明细!F5</f>
        <v>{currency}</v>
      </c>
      <c r="H25" s="80" t="str">
        <f>INDEX(报关明细!$A$17:$V$101,ROW()-24,13)</f>
        <v>{.declarationUnitPriceAmount}</v>
      </c>
      <c r="I25" s="92" t="str">
        <f>报关明细!F5</f>
        <v>{currency}</v>
      </c>
      <c r="J25" s="96" t="str">
        <f>INDEX(报关明细!$A$17:$V$101,ROW()-24,14)</f>
        <v>{.declarationTotalPrice}</v>
      </c>
    </row>
    <row r="26" spans="1:10">
      <c r="A26" s="62"/>
      <c r="B26" s="86">
        <f>INDEX(报关明细!$A$17:$V$101,ROW()-24,5)</f>
        <v>0</v>
      </c>
      <c r="C26" s="79">
        <f>INDEX(报关明细!$A$17:$V$101,ROW()-24,10)</f>
        <v>0</v>
      </c>
      <c r="D26" s="80">
        <f>INDEX(报关明细!$A$17:$V$101,ROW()-24,11)</f>
        <v>0</v>
      </c>
      <c r="E26" s="71">
        <f>INDEX(报关明细!$A$17:$V$101,ROW()-24,9)</f>
        <v>0</v>
      </c>
      <c r="F26" s="80" t="str">
        <f t="shared" ref="F26:F35" si="0">IF(E26=0,"","PCS")</f>
        <v/>
      </c>
      <c r="G26" s="92" t="str">
        <f>IF(H26=0,"",$G$25)</f>
        <v/>
      </c>
      <c r="H26" s="80">
        <f>INDEX(报关明细!$A$17:$V$101,ROW()-24,13)</f>
        <v>0</v>
      </c>
      <c r="I26" s="92" t="str">
        <f>IF(J26=0,"",$I$25)</f>
        <v/>
      </c>
      <c r="J26" s="96">
        <f>INDEX(报关明细!$A$17:$V$101,ROW()-24,14)</f>
        <v>0</v>
      </c>
    </row>
    <row r="27" spans="1:10">
      <c r="A27" s="62"/>
      <c r="B27" s="86">
        <f>INDEX(报关明细!$A$17:$V$101,ROW()-24,5)</f>
        <v>0</v>
      </c>
      <c r="C27" s="79">
        <f>INDEX(报关明细!$A$17:$V$101,ROW()-24,10)</f>
        <v>0</v>
      </c>
      <c r="D27" s="80">
        <f>INDEX(报关明细!$A$17:$V$101,ROW()-24,11)</f>
        <v>0</v>
      </c>
      <c r="E27" s="71">
        <f>INDEX(报关明细!$A$17:$V$101,ROW()-24,9)</f>
        <v>0</v>
      </c>
      <c r="F27" s="80" t="str">
        <f t="shared" si="0"/>
        <v/>
      </c>
      <c r="G27" s="92" t="str">
        <f t="shared" ref="G27:G35" si="1">IF(H27=0,"",$G$25)</f>
        <v/>
      </c>
      <c r="H27" s="80">
        <f>INDEX(报关明细!$A$17:$V$101,ROW()-24,13)</f>
        <v>0</v>
      </c>
      <c r="I27" s="92" t="str">
        <f t="shared" ref="I27:I35" si="2">IF(J27=0,"",$I$25)</f>
        <v/>
      </c>
      <c r="J27" s="96">
        <f>INDEX(报关明细!$A$17:$V$101,ROW()-24,14)</f>
        <v>0</v>
      </c>
    </row>
    <row r="28" spans="1:10">
      <c r="A28" s="62"/>
      <c r="B28" s="86">
        <f>INDEX(报关明细!$A$17:$V$101,ROW()-24,5)</f>
        <v>0</v>
      </c>
      <c r="C28" s="79">
        <f>INDEX(报关明细!$A$17:$V$101,ROW()-24,10)</f>
        <v>0</v>
      </c>
      <c r="D28" s="80">
        <f>INDEX(报关明细!$A$17:$V$101,ROW()-24,11)</f>
        <v>0</v>
      </c>
      <c r="E28" s="71">
        <f>INDEX(报关明细!$A$17:$V$101,ROW()-24,9)</f>
        <v>0</v>
      </c>
      <c r="F28" s="80" t="str">
        <f t="shared" si="0"/>
        <v/>
      </c>
      <c r="G28" s="79" t="str">
        <f t="shared" si="1"/>
        <v/>
      </c>
      <c r="H28" s="80">
        <f>INDEX(报关明细!$A$17:$V$101,ROW()-24,13)</f>
        <v>0</v>
      </c>
      <c r="I28" s="92" t="str">
        <f t="shared" si="2"/>
        <v/>
      </c>
      <c r="J28" s="96">
        <f>INDEX(报关明细!$A$17:$V$101,ROW()-24,14)</f>
        <v>0</v>
      </c>
    </row>
    <row r="29" spans="1:10">
      <c r="A29" s="62"/>
      <c r="B29" s="86">
        <f>INDEX(报关明细!$A$17:$V$101,ROW()-24,5)</f>
        <v>0</v>
      </c>
      <c r="C29" s="79">
        <f>INDEX(报关明细!$A$17:$V$101,ROW()-24,10)</f>
        <v>0</v>
      </c>
      <c r="D29" s="80">
        <f>INDEX(报关明细!$A$17:$V$101,ROW()-24,11)</f>
        <v>0</v>
      </c>
      <c r="E29" s="71">
        <f>INDEX(报关明细!$A$17:$V$101,ROW()-24,9)</f>
        <v>0</v>
      </c>
      <c r="F29" s="80" t="str">
        <f t="shared" si="0"/>
        <v/>
      </c>
      <c r="G29" s="79" t="str">
        <f t="shared" si="1"/>
        <v/>
      </c>
      <c r="H29" s="80">
        <f>INDEX(报关明细!$A$17:$V$101,ROW()-24,13)</f>
        <v>0</v>
      </c>
      <c r="I29" s="92" t="str">
        <f t="shared" si="2"/>
        <v/>
      </c>
      <c r="J29" s="96">
        <f>INDEX(报关明细!$A$17:$V$101,ROW()-24,14)</f>
        <v>0</v>
      </c>
    </row>
    <row r="30" spans="1:10">
      <c r="A30" s="62"/>
      <c r="B30" s="86">
        <f>INDEX(报关明细!$A$17:$V$101,ROW()-24,5)</f>
        <v>0</v>
      </c>
      <c r="C30" s="79">
        <f>INDEX(报关明细!$A$17:$V$101,ROW()-24,10)</f>
        <v>0</v>
      </c>
      <c r="D30" s="80">
        <f>INDEX(报关明细!$A$17:$V$101,ROW()-24,11)</f>
        <v>0</v>
      </c>
      <c r="E30" s="71">
        <f>INDEX(报关明细!$A$17:$V$101,ROW()-24,9)</f>
        <v>0</v>
      </c>
      <c r="F30" s="80" t="str">
        <f t="shared" si="0"/>
        <v/>
      </c>
      <c r="G30" s="79" t="str">
        <f t="shared" si="1"/>
        <v/>
      </c>
      <c r="H30" s="80">
        <f>INDEX(报关明细!$A$17:$V$101,ROW()-24,13)</f>
        <v>0</v>
      </c>
      <c r="I30" s="92" t="str">
        <f t="shared" si="2"/>
        <v/>
      </c>
      <c r="J30" s="96">
        <f>INDEX(报关明细!$A$17:$V$101,ROW()-24,14)</f>
        <v>0</v>
      </c>
    </row>
    <row r="31" spans="1:10">
      <c r="A31" s="62"/>
      <c r="B31" s="86">
        <f>INDEX(报关明细!$A$17:$V$101,ROW()-24,5)</f>
        <v>0</v>
      </c>
      <c r="C31" s="79">
        <f>INDEX(报关明细!$A$17:$V$101,ROW()-24,10)</f>
        <v>0</v>
      </c>
      <c r="D31" s="80">
        <f>INDEX(报关明细!$A$17:$V$101,ROW()-24,11)</f>
        <v>0</v>
      </c>
      <c r="E31" s="71">
        <f>INDEX(报关明细!$A$17:$V$101,ROW()-24,9)</f>
        <v>0</v>
      </c>
      <c r="F31" s="80" t="str">
        <f t="shared" si="0"/>
        <v/>
      </c>
      <c r="G31" s="79" t="str">
        <f t="shared" si="1"/>
        <v/>
      </c>
      <c r="H31" s="80">
        <f>INDEX(报关明细!$A$17:$V$101,ROW()-24,13)</f>
        <v>0</v>
      </c>
      <c r="I31" s="92" t="str">
        <f t="shared" si="2"/>
        <v/>
      </c>
      <c r="J31" s="96">
        <f>INDEX(报关明细!$A$17:$V$101,ROW()-24,14)</f>
        <v>0</v>
      </c>
    </row>
    <row r="32" spans="1:10">
      <c r="A32" s="62"/>
      <c r="B32" s="86">
        <f>INDEX(报关明细!$A$17:$V$101,ROW()-24,5)</f>
        <v>0</v>
      </c>
      <c r="C32" s="79">
        <f>INDEX(报关明细!$A$17:$V$101,ROW()-24,10)</f>
        <v>0</v>
      </c>
      <c r="D32" s="80">
        <f>INDEX(报关明细!$A$17:$V$101,ROW()-24,11)</f>
        <v>0</v>
      </c>
      <c r="E32" s="71">
        <f>INDEX(报关明细!$A$17:$V$101,ROW()-24,9)</f>
        <v>0</v>
      </c>
      <c r="F32" s="80" t="str">
        <f t="shared" si="0"/>
        <v/>
      </c>
      <c r="G32" s="79" t="str">
        <f t="shared" si="1"/>
        <v/>
      </c>
      <c r="H32" s="80">
        <f>INDEX(报关明细!$A$17:$V$101,ROW()-24,13)</f>
        <v>0</v>
      </c>
      <c r="I32" s="92" t="str">
        <f t="shared" si="2"/>
        <v/>
      </c>
      <c r="J32" s="96">
        <f>INDEX(报关明细!$A$17:$V$101,ROW()-24,14)</f>
        <v>0</v>
      </c>
    </row>
    <row r="33" spans="1:10">
      <c r="A33" s="62"/>
      <c r="B33" s="86">
        <f>INDEX(报关明细!$A$17:$V$101,ROW()-24,5)</f>
        <v>0</v>
      </c>
      <c r="C33" s="79">
        <f>INDEX(报关明细!$A$17:$V$101,ROW()-24,10)</f>
        <v>0</v>
      </c>
      <c r="D33" s="80">
        <f>INDEX(报关明细!$A$17:$V$101,ROW()-24,11)</f>
        <v>0</v>
      </c>
      <c r="E33" s="71">
        <f>INDEX(报关明细!$A$17:$V$101,ROW()-24,9)</f>
        <v>0</v>
      </c>
      <c r="F33" s="80" t="str">
        <f t="shared" si="0"/>
        <v/>
      </c>
      <c r="G33" s="79" t="str">
        <f t="shared" si="1"/>
        <v/>
      </c>
      <c r="H33" s="80">
        <f>INDEX(报关明细!$A$17:$V$101,ROW()-24,13)</f>
        <v>0</v>
      </c>
      <c r="I33" s="92" t="str">
        <f t="shared" si="2"/>
        <v/>
      </c>
      <c r="J33" s="96">
        <f>INDEX(报关明细!$A$17:$V$101,ROW()-24,14)</f>
        <v>0</v>
      </c>
    </row>
    <row r="34" spans="1:10">
      <c r="A34" s="87"/>
      <c r="B34" s="86">
        <f>INDEX(报关明细!$A$17:$V$101,ROW()-24,5)</f>
        <v>0</v>
      </c>
      <c r="C34" s="79">
        <f>INDEX(报关明细!$A$17:$V$101,ROW()-24,10)</f>
        <v>0</v>
      </c>
      <c r="D34" s="80">
        <f>INDEX(报关明细!$A$17:$V$101,ROW()-24,11)</f>
        <v>0</v>
      </c>
      <c r="E34" s="71">
        <f>INDEX(报关明细!$A$17:$V$101,ROW()-24,9)</f>
        <v>0</v>
      </c>
      <c r="F34" s="80" t="str">
        <f t="shared" si="0"/>
        <v/>
      </c>
      <c r="G34" s="79" t="str">
        <f t="shared" si="1"/>
        <v/>
      </c>
      <c r="H34" s="80">
        <f>INDEX(报关明细!$A$17:$V$101,ROW()-24,13)</f>
        <v>0</v>
      </c>
      <c r="I34" s="92" t="str">
        <f t="shared" si="2"/>
        <v/>
      </c>
      <c r="J34" s="96">
        <f>INDEX(报关明细!$A$17:$V$101,ROW()-24,14)</f>
        <v>0</v>
      </c>
    </row>
    <row r="35" spans="1:10">
      <c r="A35" s="87"/>
      <c r="B35" s="86">
        <f>INDEX(报关明细!$A$17:$V$101,11,5)</f>
        <v>0</v>
      </c>
      <c r="C35" s="79">
        <f>INDEX(报关明细!$A$17:$V$101,ROW()-24,10)</f>
        <v>0</v>
      </c>
      <c r="D35" s="80">
        <f>INDEX(报关明细!$A$17:$V$101,ROW()-24,11)</f>
        <v>0</v>
      </c>
      <c r="E35" s="71">
        <f>INDEX(报关明细!$A$17:$V$101,ROW()-24,9)</f>
        <v>0</v>
      </c>
      <c r="F35" s="80" t="str">
        <f t="shared" si="0"/>
        <v/>
      </c>
      <c r="G35" s="79" t="str">
        <f t="shared" si="1"/>
        <v/>
      </c>
      <c r="H35" s="80">
        <f>INDEX(报关明细!$A$17:$V$101,ROW()-24,13)</f>
        <v>0</v>
      </c>
      <c r="I35" s="97" t="str">
        <f t="shared" si="2"/>
        <v/>
      </c>
      <c r="J35" s="98">
        <f>INDEX(报关明细!$A$17:$V$101,ROW()-24,14)</f>
        <v>0</v>
      </c>
    </row>
    <row r="36" spans="1:10" ht="16.5" customHeight="1">
      <c r="A36" s="88"/>
      <c r="B36" s="89" t="s">
        <v>135</v>
      </c>
      <c r="C36" s="90">
        <f>SUM(C25:C35)</f>
        <v>0</v>
      </c>
      <c r="D36" s="59" t="s">
        <v>136</v>
      </c>
      <c r="E36" s="90">
        <f>SUM(E25:E35)</f>
        <v>0</v>
      </c>
      <c r="F36" s="59" t="s">
        <v>137</v>
      </c>
      <c r="G36" s="93"/>
      <c r="H36" s="90">
        <f>SUM(I25:I35)</f>
        <v>0</v>
      </c>
      <c r="I36" s="53" t="str">
        <f>I25</f>
        <v>{currency}</v>
      </c>
      <c r="J36" s="4">
        <f>SUM(J25:J35)</f>
        <v>0</v>
      </c>
    </row>
    <row r="37" spans="1:10" ht="15.75" customHeight="1">
      <c r="A37" s="130" t="str">
        <f>报关明细!B14</f>
        <v>{frontShippingMark}</v>
      </c>
      <c r="B37" s="130"/>
      <c r="E37" s="121"/>
      <c r="F37" s="121"/>
      <c r="G37" s="121"/>
      <c r="H37" s="56"/>
    </row>
    <row r="38" spans="1:10">
      <c r="A38" s="130"/>
      <c r="B38" s="130"/>
      <c r="E38" s="56"/>
      <c r="F38" s="56"/>
      <c r="G38" s="56"/>
      <c r="H38" s="56"/>
    </row>
    <row r="39" spans="1:10">
      <c r="A39" s="130"/>
      <c r="B39" s="130"/>
    </row>
    <row r="40" spans="1:10">
      <c r="A40" s="130"/>
      <c r="B40" s="130"/>
    </row>
    <row r="41" spans="1:10">
      <c r="A41" s="130"/>
      <c r="B41" s="130"/>
    </row>
    <row r="42" spans="1:10">
      <c r="A42" s="130"/>
      <c r="B42" s="130"/>
    </row>
    <row r="43" spans="1:10">
      <c r="A43" s="130"/>
      <c r="B43" s="130"/>
    </row>
    <row r="44" spans="1:10">
      <c r="A44" s="1"/>
      <c r="B44" s="1"/>
    </row>
    <row r="45" spans="1:10">
      <c r="A45" s="1"/>
      <c r="B45" s="1"/>
    </row>
    <row r="46" spans="1:10">
      <c r="A46" s="1"/>
      <c r="B46" s="1"/>
    </row>
  </sheetData>
  <mergeCells count="25">
    <mergeCell ref="C24:D24"/>
    <mergeCell ref="G24:H24"/>
    <mergeCell ref="I24:J24"/>
    <mergeCell ref="E37:G37"/>
    <mergeCell ref="B7:B8"/>
    <mergeCell ref="B10:B11"/>
    <mergeCell ref="G7:J8"/>
    <mergeCell ref="G10:J11"/>
    <mergeCell ref="B13:J14"/>
    <mergeCell ref="B16:J17"/>
    <mergeCell ref="B19:J20"/>
    <mergeCell ref="A37:B43"/>
    <mergeCell ref="C22:D22"/>
    <mergeCell ref="E22:F22"/>
    <mergeCell ref="G22:H22"/>
    <mergeCell ref="I22:J22"/>
    <mergeCell ref="C23:D23"/>
    <mergeCell ref="E23:F23"/>
    <mergeCell ref="G23:H23"/>
    <mergeCell ref="I23:J23"/>
    <mergeCell ref="A1:J1"/>
    <mergeCell ref="A2:J2"/>
    <mergeCell ref="A3:J3"/>
    <mergeCell ref="A4:J4"/>
    <mergeCell ref="A5:J5"/>
  </mergeCells>
  <phoneticPr fontId="31" type="noConversion"/>
  <pageMargins left="0.71" right="0.71" top="0.75" bottom="0.75" header="0.31" footer="0.31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2"/>
  <sheetViews>
    <sheetView showZeros="0" topLeftCell="A11" workbookViewId="0">
      <selection activeCell="I31" sqref="I31"/>
    </sheetView>
  </sheetViews>
  <sheetFormatPr defaultColWidth="9.125" defaultRowHeight="14.25"/>
  <cols>
    <col min="1" max="1" width="12.25" style="4" customWidth="1"/>
    <col min="2" max="2" width="25.375" style="4" customWidth="1"/>
    <col min="3" max="3" width="5.75" style="4" customWidth="1"/>
    <col min="4" max="4" width="5.375" style="4" customWidth="1"/>
    <col min="5" max="5" width="7.25" style="4" customWidth="1"/>
    <col min="6" max="6" width="4.5" style="4" customWidth="1"/>
    <col min="7" max="8" width="9" style="4"/>
    <col min="9" max="9" width="10" style="4"/>
    <col min="10" max="32" width="9" style="4"/>
    <col min="33" max="16384" width="9.125" style="4"/>
  </cols>
  <sheetData>
    <row r="1" spans="1:9" ht="31.5">
      <c r="A1" s="105" t="str">
        <f>报关明细!B13</f>
        <v>{companyTitle}</v>
      </c>
      <c r="B1" s="105"/>
      <c r="C1" s="105"/>
      <c r="D1" s="105"/>
      <c r="E1" s="105"/>
      <c r="F1" s="105"/>
      <c r="G1" s="105"/>
      <c r="H1" s="105"/>
      <c r="I1" s="105"/>
    </row>
    <row r="2" spans="1:9" ht="20.25">
      <c r="A2" s="106" t="e">
        <f>VLOOKUP(A1,资料!A3:D8,2,0)</f>
        <v>#N/A</v>
      </c>
      <c r="B2" s="106"/>
      <c r="C2" s="106"/>
      <c r="D2" s="106"/>
      <c r="E2" s="106"/>
      <c r="F2" s="106"/>
      <c r="G2" s="106"/>
      <c r="H2" s="106"/>
      <c r="I2" s="106"/>
    </row>
    <row r="3" spans="1:9" ht="15">
      <c r="A3" s="107" t="e">
        <f>VLOOKUP(A1,资料!A3:D8,3,0)</f>
        <v>#N/A</v>
      </c>
      <c r="B3" s="107"/>
      <c r="C3" s="107"/>
      <c r="D3" s="107"/>
      <c r="E3" s="107"/>
      <c r="F3" s="107"/>
      <c r="G3" s="107"/>
      <c r="H3" s="107"/>
      <c r="I3" s="107"/>
    </row>
    <row r="4" spans="1:9" ht="15">
      <c r="A4" s="54"/>
    </row>
    <row r="5" spans="1:9" ht="18.75">
      <c r="A5" s="109" t="s">
        <v>138</v>
      </c>
      <c r="B5" s="109"/>
      <c r="C5" s="109"/>
      <c r="D5" s="109"/>
      <c r="E5" s="109"/>
      <c r="F5" s="109"/>
      <c r="G5" s="109"/>
      <c r="H5" s="109"/>
      <c r="I5" s="109"/>
    </row>
    <row r="6" spans="1:9">
      <c r="A6" s="56" t="s">
        <v>111</v>
      </c>
      <c r="B6" s="122"/>
      <c r="F6" s="121" t="s">
        <v>112</v>
      </c>
      <c r="G6" s="121"/>
      <c r="H6" s="122" t="str">
        <f>报关明细!B3</f>
        <v>{invoiceCode}</v>
      </c>
      <c r="I6" s="122"/>
    </row>
    <row r="7" spans="1:9" ht="14.25" customHeight="1">
      <c r="A7" s="58" t="s">
        <v>113</v>
      </c>
      <c r="B7" s="123"/>
      <c r="F7" s="131" t="s">
        <v>114</v>
      </c>
      <c r="G7" s="131"/>
      <c r="H7" s="123"/>
      <c r="I7" s="123"/>
    </row>
    <row r="8" spans="1:9" ht="15">
      <c r="A8" s="56" t="s">
        <v>115</v>
      </c>
      <c r="B8" s="135" t="str">
        <f>报关明细!B5</f>
        <v>{saleContractCode}</v>
      </c>
      <c r="F8" s="121" t="s">
        <v>116</v>
      </c>
      <c r="G8" s="121"/>
      <c r="H8" s="138" t="str">
        <f>LEFT(报关明细!F3,10)</f>
        <v>{inputDate</v>
      </c>
      <c r="I8" s="138"/>
    </row>
    <row r="9" spans="1:9" ht="15">
      <c r="A9" s="58" t="s">
        <v>117</v>
      </c>
      <c r="B9" s="125"/>
      <c r="F9" s="131" t="s">
        <v>118</v>
      </c>
      <c r="G9" s="131"/>
      <c r="H9" s="123"/>
      <c r="I9" s="123"/>
    </row>
    <row r="10" spans="1:9" ht="12.75" customHeight="1">
      <c r="A10" s="56" t="s">
        <v>119</v>
      </c>
      <c r="B10" s="122" t="str">
        <f>报关明细!D6</f>
        <v>{custName}</v>
      </c>
      <c r="C10" s="122"/>
      <c r="D10" s="122"/>
      <c r="E10" s="122"/>
      <c r="F10" s="122"/>
      <c r="G10" s="122"/>
      <c r="H10" s="122"/>
      <c r="I10" s="122"/>
    </row>
    <row r="11" spans="1:9" ht="15">
      <c r="A11" s="58" t="s">
        <v>120</v>
      </c>
      <c r="B11" s="123"/>
      <c r="C11" s="123"/>
      <c r="D11" s="123"/>
      <c r="E11" s="123"/>
      <c r="F11" s="123"/>
      <c r="G11" s="123"/>
      <c r="H11" s="123"/>
      <c r="I11" s="123"/>
    </row>
    <row r="12" spans="1:9" ht="12.75" customHeight="1">
      <c r="A12" s="56" t="s">
        <v>121</v>
      </c>
      <c r="B12" s="138"/>
      <c r="C12" s="138"/>
      <c r="D12" s="138"/>
      <c r="E12" s="138"/>
      <c r="F12" s="138"/>
      <c r="G12" s="138"/>
      <c r="H12" s="138"/>
      <c r="I12" s="138"/>
    </row>
    <row r="13" spans="1:9" ht="12" customHeight="1">
      <c r="A13" s="58" t="s">
        <v>122</v>
      </c>
      <c r="B13" s="123"/>
      <c r="C13" s="123"/>
      <c r="D13" s="123"/>
      <c r="E13" s="123"/>
      <c r="F13" s="123"/>
      <c r="G13" s="123"/>
      <c r="H13" s="123"/>
      <c r="I13" s="123"/>
    </row>
    <row r="14" spans="1:9" ht="15">
      <c r="A14" s="56" t="s">
        <v>123</v>
      </c>
      <c r="B14" s="138" t="str">
        <f>报关明细!B8</f>
        <v>{transportType}</v>
      </c>
      <c r="C14" s="138"/>
      <c r="D14" s="138"/>
      <c r="E14" s="138"/>
      <c r="F14" s="138"/>
      <c r="G14" s="138"/>
      <c r="H14" s="138"/>
      <c r="I14" s="138"/>
    </row>
    <row r="15" spans="1:9" ht="15">
      <c r="A15" s="60" t="s">
        <v>124</v>
      </c>
      <c r="B15" s="123"/>
      <c r="C15" s="123"/>
      <c r="D15" s="123"/>
      <c r="E15" s="123"/>
      <c r="F15" s="123"/>
      <c r="G15" s="123"/>
      <c r="H15" s="123"/>
      <c r="I15" s="123"/>
    </row>
    <row r="16" spans="1:9" ht="15">
      <c r="A16" s="61"/>
      <c r="B16" s="62" t="s">
        <v>125</v>
      </c>
      <c r="C16" s="121" t="s">
        <v>126</v>
      </c>
      <c r="D16" s="121"/>
      <c r="E16" s="121" t="s">
        <v>127</v>
      </c>
      <c r="F16" s="121"/>
      <c r="G16" s="62" t="s">
        <v>139</v>
      </c>
      <c r="H16" s="74" t="s">
        <v>140</v>
      </c>
      <c r="I16" s="74" t="s">
        <v>141</v>
      </c>
    </row>
    <row r="17" spans="1:9" ht="15">
      <c r="A17" s="64"/>
      <c r="B17" s="65" t="s">
        <v>130</v>
      </c>
      <c r="C17" s="131" t="s">
        <v>131</v>
      </c>
      <c r="D17" s="131"/>
      <c r="E17" s="114" t="s">
        <v>132</v>
      </c>
      <c r="F17" s="115"/>
      <c r="G17" s="64" t="s">
        <v>142</v>
      </c>
      <c r="H17" s="64" t="s">
        <v>143</v>
      </c>
      <c r="I17" s="64" t="s">
        <v>144</v>
      </c>
    </row>
    <row r="18" spans="1:9" ht="15">
      <c r="A18" s="66"/>
      <c r="B18" s="67"/>
      <c r="C18" s="132"/>
      <c r="D18" s="132"/>
      <c r="E18" s="133"/>
      <c r="F18" s="134"/>
      <c r="G18" s="76" t="s">
        <v>145</v>
      </c>
      <c r="H18" s="77" t="s">
        <v>145</v>
      </c>
      <c r="I18" s="76" t="s">
        <v>146</v>
      </c>
    </row>
    <row r="19" spans="1:9" ht="15">
      <c r="A19" s="68"/>
      <c r="B19" s="61"/>
      <c r="C19" s="63"/>
      <c r="D19" s="63"/>
      <c r="E19" s="69"/>
      <c r="F19" s="62"/>
      <c r="G19" s="74"/>
      <c r="H19" s="78"/>
      <c r="I19" s="61"/>
    </row>
    <row r="20" spans="1:9">
      <c r="A20" s="69"/>
      <c r="B20" s="70" t="str">
        <f>INDEX(报关明细!$A$17:$V$101,ROW()-19,5)</f>
        <v>{.customsDeclarationNameEng}</v>
      </c>
      <c r="C20" s="71" t="str">
        <f>INDEX(报关明细!$A$17:$V$101,ROW()-19,10)</f>
        <v>{.boxCount}</v>
      </c>
      <c r="D20" s="71" t="str">
        <f>INDEX(报关明细!$A$17:$V$101,ROW()-19,11)</f>
        <v>{.unitPerOuterbox}</v>
      </c>
      <c r="E20" s="79" t="str">
        <f>INDEX(报关明细!$A$17:$V$101,ROW()-19,9)</f>
        <v>{.declarationQuantity}</v>
      </c>
      <c r="F20" s="80" t="str">
        <f>IF(E20=0,"","PCS")</f>
        <v>PCS</v>
      </c>
      <c r="G20" s="74" t="str">
        <f>INDEX(报关明细!$A$17:$V$101,ROW()-19,18)</f>
        <v>{.totalGrossweightweight}</v>
      </c>
      <c r="H20" s="74" t="str">
        <f>INDEX(报关明细!$A$17:$V$101,ROW()-19,20)</f>
        <v>{.totalNetweightweight}</v>
      </c>
      <c r="I20" s="74" t="str">
        <f>INDEX(报关明细!$A$17:$V$101,ROW()-19,16)</f>
        <v>{.totalVolume}</v>
      </c>
    </row>
    <row r="21" spans="1:9">
      <c r="A21" s="69"/>
      <c r="B21" s="70">
        <f>INDEX(报关明细!$A$17:$V$101,ROW()-19,5)</f>
        <v>0</v>
      </c>
      <c r="C21" s="71">
        <f>INDEX(报关明细!$A$17:$V$101,ROW()-19,10)</f>
        <v>0</v>
      </c>
      <c r="D21" s="71">
        <f>INDEX(报关明细!$A$17:$V$101,ROW()-19,11)</f>
        <v>0</v>
      </c>
      <c r="E21" s="79">
        <f>INDEX(报关明细!$A$17:$V$101,ROW()-19,9)</f>
        <v>0</v>
      </c>
      <c r="F21" s="80" t="str">
        <f t="shared" ref="F21:F30" si="0">IF(E21=0,"","PCS")</f>
        <v/>
      </c>
      <c r="G21" s="74">
        <f>INDEX(报关明细!$A$17:$V$101,ROW()-19,18)</f>
        <v>0</v>
      </c>
      <c r="H21" s="74">
        <f>INDEX(报关明细!$A$17:$V$101,ROW()-19,20)</f>
        <v>0</v>
      </c>
      <c r="I21" s="74">
        <f>INDEX(报关明细!$A$17:$V$101,ROW()-19,16)</f>
        <v>0</v>
      </c>
    </row>
    <row r="22" spans="1:9">
      <c r="A22" s="69"/>
      <c r="B22" s="70">
        <f>INDEX(报关明细!$A$17:$V$101,ROW()-19,5)</f>
        <v>0</v>
      </c>
      <c r="C22" s="71">
        <f>INDEX(报关明细!$A$17:$V$101,ROW()-19,10)</f>
        <v>0</v>
      </c>
      <c r="D22" s="71">
        <f>INDEX(报关明细!$A$17:$V$101,ROW()-19,11)</f>
        <v>0</v>
      </c>
      <c r="E22" s="79">
        <f>INDEX(报关明细!$A$17:$V$101,ROW()-19,9)</f>
        <v>0</v>
      </c>
      <c r="F22" s="80" t="str">
        <f t="shared" si="0"/>
        <v/>
      </c>
      <c r="G22" s="74">
        <f>INDEX(报关明细!$A$17:$V$101,ROW()-19,18)</f>
        <v>0</v>
      </c>
      <c r="H22" s="74">
        <f>INDEX(报关明细!$A$17:$V$101,ROW()-19,20)</f>
        <v>0</v>
      </c>
      <c r="I22" s="74">
        <f>INDEX(报关明细!$A$17:$V$101,ROW()-19,16)</f>
        <v>0</v>
      </c>
    </row>
    <row r="23" spans="1:9">
      <c r="A23" s="69"/>
      <c r="B23" s="70">
        <f>INDEX(报关明细!$A$17:$V$101,ROW()-19,5)</f>
        <v>0</v>
      </c>
      <c r="C23" s="71">
        <f>INDEX(报关明细!$A$17:$V$101,ROW()-19,10)</f>
        <v>0</v>
      </c>
      <c r="D23" s="71">
        <f>INDEX(报关明细!$A$17:$V$101,ROW()-19,11)</f>
        <v>0</v>
      </c>
      <c r="E23" s="79">
        <f>INDEX(报关明细!$A$17:$V$101,ROW()-19,9)</f>
        <v>0</v>
      </c>
      <c r="F23" s="80" t="str">
        <f t="shared" si="0"/>
        <v/>
      </c>
      <c r="G23" s="74">
        <f>INDEX(报关明细!$A$17:$V$101,ROW()-19,18)</f>
        <v>0</v>
      </c>
      <c r="H23" s="74">
        <f>INDEX(报关明细!$A$17:$V$101,ROW()-19,20)</f>
        <v>0</v>
      </c>
      <c r="I23" s="74">
        <f>INDEX(报关明细!$A$17:$V$101,ROW()-19,16)</f>
        <v>0</v>
      </c>
    </row>
    <row r="24" spans="1:9">
      <c r="A24" s="69"/>
      <c r="B24" s="70">
        <f>INDEX(报关明细!$A$17:$V$101,ROW()-19,5)</f>
        <v>0</v>
      </c>
      <c r="C24" s="71">
        <f>INDEX(报关明细!$A$17:$V$101,ROW()-19,10)</f>
        <v>0</v>
      </c>
      <c r="D24" s="71">
        <f>INDEX(报关明细!$A$17:$V$101,ROW()-19,11)</f>
        <v>0</v>
      </c>
      <c r="E24" s="79">
        <f>INDEX(报关明细!$A$17:$V$101,ROW()-19,9)</f>
        <v>0</v>
      </c>
      <c r="F24" s="80" t="str">
        <f t="shared" si="0"/>
        <v/>
      </c>
      <c r="G24" s="74">
        <f>INDEX(报关明细!$A$17:$V$101,ROW()-19,18)</f>
        <v>0</v>
      </c>
      <c r="H24" s="74">
        <f>INDEX(报关明细!$A$17:$V$101,ROW()-19,20)</f>
        <v>0</v>
      </c>
      <c r="I24" s="74">
        <f>INDEX(报关明细!$A$17:$V$101,ROW()-19,16)</f>
        <v>0</v>
      </c>
    </row>
    <row r="25" spans="1:9">
      <c r="A25" s="69"/>
      <c r="B25" s="70">
        <f>INDEX(报关明细!$A$17:$V$101,ROW()-19,5)</f>
        <v>0</v>
      </c>
      <c r="C25" s="71">
        <f>INDEX(报关明细!$A$17:$V$101,ROW()-19,10)</f>
        <v>0</v>
      </c>
      <c r="D25" s="71">
        <f>INDEX(报关明细!$A$17:$V$101,ROW()-19,11)</f>
        <v>0</v>
      </c>
      <c r="E25" s="79">
        <f>INDEX(报关明细!$A$17:$V$101,ROW()-19,9)</f>
        <v>0</v>
      </c>
      <c r="F25" s="80" t="str">
        <f t="shared" si="0"/>
        <v/>
      </c>
      <c r="G25" s="74">
        <f>INDEX(报关明细!$A$17:$V$101,ROW()-19,18)</f>
        <v>0</v>
      </c>
      <c r="H25" s="74">
        <f>INDEX(报关明细!$A$17:$V$101,ROW()-19,20)</f>
        <v>0</v>
      </c>
      <c r="I25" s="74">
        <f>INDEX(报关明细!$A$17:$V$101,ROW()-19,16)</f>
        <v>0</v>
      </c>
    </row>
    <row r="26" spans="1:9">
      <c r="A26" s="69"/>
      <c r="B26" s="70">
        <f>INDEX(报关明细!$A$17:$V$101,ROW()-19,5)</f>
        <v>0</v>
      </c>
      <c r="C26" s="71">
        <f>INDEX(报关明细!$A$17:$V$101,ROW()-19,10)</f>
        <v>0</v>
      </c>
      <c r="D26" s="71">
        <f>INDEX(报关明细!$A$17:$V$101,ROW()-19,11)</f>
        <v>0</v>
      </c>
      <c r="E26" s="79">
        <f>INDEX(报关明细!$A$17:$V$101,ROW()-19,9)</f>
        <v>0</v>
      </c>
      <c r="F26" s="80" t="str">
        <f t="shared" si="0"/>
        <v/>
      </c>
      <c r="G26" s="74">
        <f>INDEX(报关明细!$A$17:$V$101,ROW()-19,18)</f>
        <v>0</v>
      </c>
      <c r="H26" s="74">
        <f>INDEX(报关明细!$A$17:$V$101,ROW()-19,20)</f>
        <v>0</v>
      </c>
      <c r="I26" s="74">
        <f>INDEX(报关明细!$A$17:$V$101,ROW()-19,16)</f>
        <v>0</v>
      </c>
    </row>
    <row r="27" spans="1:9">
      <c r="A27" s="69"/>
      <c r="B27" s="70">
        <f>INDEX(报关明细!$A$17:$V$101,ROW()-19,5)</f>
        <v>0</v>
      </c>
      <c r="C27" s="71">
        <f>INDEX(报关明细!$A$17:$V$101,ROW()-19,10)</f>
        <v>0</v>
      </c>
      <c r="D27" s="71">
        <f>INDEX(报关明细!$A$17:$V$101,ROW()-19,11)</f>
        <v>0</v>
      </c>
      <c r="E27" s="79">
        <f>INDEX(报关明细!$A$17:$V$101,ROW()-19,9)</f>
        <v>0</v>
      </c>
      <c r="F27" s="80" t="str">
        <f t="shared" si="0"/>
        <v/>
      </c>
      <c r="G27" s="74">
        <f>INDEX(报关明细!$A$17:$V$101,ROW()-19,18)</f>
        <v>0</v>
      </c>
      <c r="H27" s="74">
        <f>INDEX(报关明细!$A$17:$V$101,ROW()-19,20)</f>
        <v>0</v>
      </c>
      <c r="I27" s="74">
        <f>INDEX(报关明细!$A$17:$V$101,ROW()-19,16)</f>
        <v>0</v>
      </c>
    </row>
    <row r="28" spans="1:9">
      <c r="A28" s="69"/>
      <c r="B28" s="70">
        <f>INDEX(报关明细!$A$17:$V$101,ROW()-19,5)</f>
        <v>0</v>
      </c>
      <c r="C28" s="71">
        <f>INDEX(报关明细!$A$17:$V$101,ROW()-19,10)</f>
        <v>0</v>
      </c>
      <c r="D28" s="71">
        <f>INDEX(报关明细!$A$17:$V$101,ROW()-19,11)</f>
        <v>0</v>
      </c>
      <c r="E28" s="79">
        <f>INDEX(报关明细!$A$17:$V$101,ROW()-19,9)</f>
        <v>0</v>
      </c>
      <c r="F28" s="80" t="str">
        <f t="shared" si="0"/>
        <v/>
      </c>
      <c r="G28" s="74">
        <f>INDEX(报关明细!$A$17:$V$101,ROW()-19,18)</f>
        <v>0</v>
      </c>
      <c r="H28" s="74">
        <f>INDEX(报关明细!$A$17:$V$101,ROW()-19,20)</f>
        <v>0</v>
      </c>
      <c r="I28" s="74">
        <f>INDEX(报关明细!$A$17:$V$101,ROW()-19,16)</f>
        <v>0</v>
      </c>
    </row>
    <row r="29" spans="1:9">
      <c r="A29" s="68"/>
      <c r="B29" s="70">
        <f>INDEX(报关明细!$A$17:$V$101,ROW()-19,5)</f>
        <v>0</v>
      </c>
      <c r="C29" s="71">
        <f>INDEX(报关明细!$A$17:$V$101,ROW()-19,10)</f>
        <v>0</v>
      </c>
      <c r="D29" s="71">
        <f>INDEX(报关明细!$A$17:$V$101,ROW()-19,11)</f>
        <v>0</v>
      </c>
      <c r="E29" s="79">
        <f>INDEX(报关明细!$A$17:$V$101,ROW()-19,9)</f>
        <v>0</v>
      </c>
      <c r="F29" s="80" t="str">
        <f t="shared" si="0"/>
        <v/>
      </c>
      <c r="G29" s="74">
        <f>INDEX(报关明细!$A$17:$V$101,ROW()-19,18)</f>
        <v>0</v>
      </c>
      <c r="H29" s="74">
        <f>INDEX(报关明细!$A$17:$V$101,ROW()-19,20)</f>
        <v>0</v>
      </c>
      <c r="I29" s="74">
        <f>INDEX(报关明细!$A$17:$V$101,ROW()-19,16)</f>
        <v>0</v>
      </c>
    </row>
    <row r="30" spans="1:9">
      <c r="A30" s="72"/>
      <c r="B30" s="70">
        <f>INDEX(报关明细!$A$17:$V$101,ROW()-19,5)</f>
        <v>0</v>
      </c>
      <c r="C30" s="71">
        <f>INDEX(报关明细!$A$17:$V$101,ROW()-19,10)</f>
        <v>0</v>
      </c>
      <c r="D30" s="71">
        <f>INDEX(报关明细!$A$17:$V$101,ROW()-19,11)</f>
        <v>0</v>
      </c>
      <c r="E30" s="79">
        <f>INDEX(报关明细!$A$17:$V$101,ROW()-19,9)</f>
        <v>0</v>
      </c>
      <c r="F30" s="80" t="str">
        <f t="shared" si="0"/>
        <v/>
      </c>
      <c r="G30" s="74">
        <f>INDEX(报关明细!$A$17:$V$101,ROW()-19,18)</f>
        <v>0</v>
      </c>
      <c r="H30" s="74">
        <f>INDEX(报关明细!$A$17:$V$101,ROW()-19,20)</f>
        <v>0</v>
      </c>
      <c r="I30" s="74">
        <f>INDEX(报关明细!$A$17:$V$101,ROW()-19,16)</f>
        <v>0</v>
      </c>
    </row>
    <row r="31" spans="1:9">
      <c r="A31" s="73"/>
      <c r="B31" s="73" t="s">
        <v>135</v>
      </c>
      <c r="C31" s="73">
        <f t="shared" ref="C31:I31" si="1">SUM(C20:C30)</f>
        <v>0</v>
      </c>
      <c r="D31" s="73" t="s">
        <v>136</v>
      </c>
      <c r="E31" s="73">
        <f t="shared" si="1"/>
        <v>0</v>
      </c>
      <c r="F31" s="73" t="s">
        <v>137</v>
      </c>
      <c r="G31" s="73">
        <f t="shared" si="1"/>
        <v>0</v>
      </c>
      <c r="H31" s="73">
        <f t="shared" si="1"/>
        <v>0</v>
      </c>
      <c r="I31" s="73">
        <f t="shared" si="1"/>
        <v>0</v>
      </c>
    </row>
    <row r="34" spans="1:2">
      <c r="A34" s="136" t="str">
        <f>报关明细!B14</f>
        <v>{frontShippingMark}</v>
      </c>
      <c r="B34" s="137"/>
    </row>
    <row r="35" spans="1:2">
      <c r="A35" s="137"/>
      <c r="B35" s="137"/>
    </row>
    <row r="36" spans="1:2">
      <c r="A36" s="137"/>
      <c r="B36" s="137"/>
    </row>
    <row r="37" spans="1:2">
      <c r="A37" s="137"/>
      <c r="B37" s="137"/>
    </row>
    <row r="38" spans="1:2">
      <c r="A38" s="137"/>
      <c r="B38" s="137"/>
    </row>
    <row r="39" spans="1:2">
      <c r="A39" s="137"/>
      <c r="B39" s="137"/>
    </row>
    <row r="40" spans="1:2">
      <c r="A40" s="137"/>
      <c r="B40" s="137"/>
    </row>
    <row r="41" spans="1:2">
      <c r="A41" s="137"/>
      <c r="B41" s="137"/>
    </row>
    <row r="42" spans="1:2">
      <c r="A42" s="137"/>
      <c r="B42" s="137"/>
    </row>
  </sheetData>
  <mergeCells count="22">
    <mergeCell ref="A34:B42"/>
    <mergeCell ref="B14:I15"/>
    <mergeCell ref="H6:I7"/>
    <mergeCell ref="H8:I9"/>
    <mergeCell ref="B10:I11"/>
    <mergeCell ref="B12:I13"/>
    <mergeCell ref="C17:D17"/>
    <mergeCell ref="E17:F17"/>
    <mergeCell ref="C18:D18"/>
    <mergeCell ref="E18:F18"/>
    <mergeCell ref="B6:B7"/>
    <mergeCell ref="B8:B9"/>
    <mergeCell ref="F7:G7"/>
    <mergeCell ref="F8:G8"/>
    <mergeCell ref="F9:G9"/>
    <mergeCell ref="C16:D16"/>
    <mergeCell ref="E16:F16"/>
    <mergeCell ref="A1:I1"/>
    <mergeCell ref="A2:I2"/>
    <mergeCell ref="A3:I3"/>
    <mergeCell ref="A5:I5"/>
    <mergeCell ref="F6:G6"/>
  </mergeCells>
  <phoneticPr fontId="31" type="noConversion"/>
  <pageMargins left="0.71" right="0.71" top="0.75" bottom="0.75" header="0.31" footer="0.31"/>
  <pageSetup paperSize="9" scale="9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91"/>
  <sheetViews>
    <sheetView showZeros="0" topLeftCell="A16" workbookViewId="0">
      <selection activeCell="L52" sqref="L52"/>
    </sheetView>
  </sheetViews>
  <sheetFormatPr defaultColWidth="9.125" defaultRowHeight="17.25"/>
  <cols>
    <col min="1" max="1" width="6.5" style="24" customWidth="1"/>
    <col min="2" max="2" width="13.125" style="24"/>
    <col min="3" max="3" width="11.625" style="24" customWidth="1"/>
    <col min="4" max="4" width="18.625" style="24" customWidth="1"/>
    <col min="5" max="5" width="9.375" style="24" customWidth="1"/>
    <col min="6" max="6" width="6.75" style="24" customWidth="1"/>
    <col min="7" max="7" width="11" style="24" customWidth="1"/>
    <col min="8" max="8" width="11.25" style="24" customWidth="1"/>
    <col min="9" max="9" width="10.5" style="24"/>
    <col min="10" max="10" width="11.25" style="24" customWidth="1"/>
    <col min="11" max="11" width="14" style="24" customWidth="1"/>
    <col min="12" max="12" width="9.625" style="24" customWidth="1"/>
    <col min="13" max="13" width="10.5" style="24"/>
    <col min="14" max="14" width="9.75" style="24" customWidth="1"/>
    <col min="15" max="15" width="2.25" style="24" customWidth="1"/>
    <col min="16" max="18" width="9" style="24" hidden="1" customWidth="1"/>
    <col min="19" max="32" width="9" style="24"/>
    <col min="33" max="16384" width="9.125" style="24"/>
  </cols>
  <sheetData>
    <row r="1" spans="1:15" ht="51.75" customHeight="1">
      <c r="A1" s="139" t="s">
        <v>147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52"/>
    </row>
    <row r="2" spans="1:15" s="25" customFormat="1" ht="19.5" customHeight="1">
      <c r="A2" s="140" t="s">
        <v>148</v>
      </c>
      <c r="B2" s="140"/>
      <c r="C2" s="27"/>
      <c r="D2" s="27" t="s">
        <v>149</v>
      </c>
      <c r="E2" s="27"/>
      <c r="F2" s="140"/>
      <c r="G2" s="141"/>
      <c r="H2" s="141"/>
      <c r="I2" s="141" t="s">
        <v>150</v>
      </c>
      <c r="J2" s="141"/>
      <c r="K2" s="140"/>
      <c r="L2" s="140"/>
      <c r="M2" s="140"/>
      <c r="N2" s="140"/>
      <c r="O2" s="44"/>
    </row>
    <row r="3" spans="1:15" s="25" customFormat="1" ht="17.25" customHeight="1">
      <c r="A3" s="142" t="s">
        <v>151</v>
      </c>
      <c r="B3" s="143"/>
      <c r="C3" s="143"/>
      <c r="D3" s="143"/>
      <c r="E3" s="143"/>
      <c r="F3" s="144"/>
      <c r="G3" s="142" t="s">
        <v>152</v>
      </c>
      <c r="H3" s="145"/>
      <c r="I3" s="142" t="s">
        <v>153</v>
      </c>
      <c r="J3" s="146"/>
      <c r="K3" s="48" t="s">
        <v>154</v>
      </c>
      <c r="L3" s="142" t="s">
        <v>155</v>
      </c>
      <c r="M3" s="143"/>
      <c r="N3" s="144"/>
      <c r="O3" s="44"/>
    </row>
    <row r="4" spans="1:15" s="25" customFormat="1" ht="23.25" customHeight="1">
      <c r="A4" s="147" t="e">
        <f>VLOOKUP(D4,资料!A3:G8,7,0)</f>
        <v>#N/A</v>
      </c>
      <c r="B4" s="148"/>
      <c r="C4" s="30" t="e">
        <f>VLOOKUP(D4,资料!A3:G8,6,0)</f>
        <v>#N/A</v>
      </c>
      <c r="D4" s="149" t="str">
        <f>报关明细!B13</f>
        <v>{companyTitle}</v>
      </c>
      <c r="E4" s="148"/>
      <c r="F4" s="150"/>
      <c r="G4" s="147" t="s">
        <v>156</v>
      </c>
      <c r="H4" s="150"/>
      <c r="I4" s="147" t="str">
        <f>LEFT(报关明细!H4,10)</f>
        <v>{shipDate}</v>
      </c>
      <c r="J4" s="150"/>
      <c r="K4" s="47" t="s">
        <v>157</v>
      </c>
      <c r="L4" s="149" t="s">
        <v>157</v>
      </c>
      <c r="M4" s="149"/>
      <c r="N4" s="151"/>
      <c r="O4" s="44"/>
    </row>
    <row r="5" spans="1:15" s="25" customFormat="1" ht="17.25" customHeight="1">
      <c r="A5" s="142" t="s">
        <v>158</v>
      </c>
      <c r="B5" s="143"/>
      <c r="C5" s="143"/>
      <c r="D5" s="143"/>
      <c r="E5" s="143"/>
      <c r="F5" s="144"/>
      <c r="G5" s="142" t="s">
        <v>39</v>
      </c>
      <c r="H5" s="144"/>
      <c r="I5" s="142" t="s">
        <v>159</v>
      </c>
      <c r="J5" s="144"/>
      <c r="K5" s="142" t="s">
        <v>160</v>
      </c>
      <c r="L5" s="143"/>
      <c r="M5" s="143"/>
      <c r="N5" s="144"/>
      <c r="O5" s="44"/>
    </row>
    <row r="6" spans="1:15" s="25" customFormat="1" ht="23.25" customHeight="1">
      <c r="A6" s="147" t="str">
        <f>报关明细!D6</f>
        <v>{custName}</v>
      </c>
      <c r="B6" s="149"/>
      <c r="C6" s="149"/>
      <c r="D6" s="149"/>
      <c r="E6" s="149"/>
      <c r="F6" s="151"/>
      <c r="G6" s="147" t="str">
        <f>报关明细!B8</f>
        <v>{transportType}</v>
      </c>
      <c r="H6" s="151"/>
      <c r="I6" s="149" t="s">
        <v>157</v>
      </c>
      <c r="J6" s="151"/>
      <c r="K6" s="147" t="s">
        <v>157</v>
      </c>
      <c r="L6" s="149"/>
      <c r="M6" s="149"/>
      <c r="N6" s="151"/>
      <c r="O6" s="44"/>
    </row>
    <row r="7" spans="1:15" s="25" customFormat="1" ht="16.5" customHeight="1">
      <c r="A7" s="142" t="s">
        <v>161</v>
      </c>
      <c r="B7" s="143"/>
      <c r="C7" s="143"/>
      <c r="D7" s="143"/>
      <c r="E7" s="143"/>
      <c r="F7" s="144"/>
      <c r="G7" s="142" t="s">
        <v>162</v>
      </c>
      <c r="H7" s="144"/>
      <c r="I7" s="142" t="s">
        <v>163</v>
      </c>
      <c r="J7" s="144"/>
      <c r="K7" s="142" t="s">
        <v>164</v>
      </c>
      <c r="L7" s="143"/>
      <c r="M7" s="143"/>
      <c r="N7" s="144"/>
      <c r="O7" s="44"/>
    </row>
    <row r="8" spans="1:15" s="25" customFormat="1" ht="23.25" customHeight="1">
      <c r="A8" s="147" t="e">
        <f>VLOOKUP(D8,资料!A3:G8,7,0)</f>
        <v>#N/A</v>
      </c>
      <c r="B8" s="148"/>
      <c r="C8" s="30" t="e">
        <f>VLOOKUP(D8,资料!A3:G8,6,0)</f>
        <v>#N/A</v>
      </c>
      <c r="D8" s="149" t="str">
        <f>报关明细!B13</f>
        <v>{companyTitle}</v>
      </c>
      <c r="E8" s="148"/>
      <c r="F8" s="150"/>
      <c r="G8" s="147" t="s">
        <v>165</v>
      </c>
      <c r="H8" s="149"/>
      <c r="I8" s="152" t="s">
        <v>166</v>
      </c>
      <c r="J8" s="153"/>
      <c r="K8" s="147" t="s">
        <v>157</v>
      </c>
      <c r="L8" s="149"/>
      <c r="M8" s="149"/>
      <c r="N8" s="151"/>
      <c r="O8" s="44"/>
    </row>
    <row r="9" spans="1:15" s="25" customFormat="1" ht="16.5" customHeight="1">
      <c r="A9" s="142" t="s">
        <v>167</v>
      </c>
      <c r="B9" s="143"/>
      <c r="C9" s="144"/>
      <c r="D9" s="142" t="s">
        <v>168</v>
      </c>
      <c r="E9" s="143"/>
      <c r="F9" s="144"/>
      <c r="G9" s="142" t="s">
        <v>169</v>
      </c>
      <c r="H9" s="143"/>
      <c r="I9" s="143"/>
      <c r="J9" s="144"/>
      <c r="K9" s="48" t="s">
        <v>170</v>
      </c>
      <c r="L9" s="143" t="s">
        <v>171</v>
      </c>
      <c r="M9" s="143"/>
      <c r="N9" s="144"/>
      <c r="O9" s="44"/>
    </row>
    <row r="10" spans="1:15" s="25" customFormat="1" ht="14.25">
      <c r="A10" s="154" t="str">
        <f>报关明细!B5</f>
        <v>{saleContractCode}</v>
      </c>
      <c r="B10" s="155"/>
      <c r="C10" s="156"/>
      <c r="D10" s="157" t="str">
        <f>报关明细!H5</f>
        <v>{tradeCountryName}</v>
      </c>
      <c r="E10" s="158"/>
      <c r="F10" s="159"/>
      <c r="G10" s="154" t="str">
        <f>报关明细!H5</f>
        <v>{tradeCountryName}</v>
      </c>
      <c r="H10" s="155"/>
      <c r="I10" s="155"/>
      <c r="J10" s="156"/>
      <c r="K10" s="50" t="str">
        <f>报关明细!F8</f>
        <v>{destinationPortName}</v>
      </c>
      <c r="L10" s="158" t="str">
        <f>报关明细!D8</f>
        <v>{departurePortName}</v>
      </c>
      <c r="M10" s="158"/>
      <c r="N10" s="159"/>
      <c r="O10" s="44"/>
    </row>
    <row r="11" spans="1:15" s="25" customFormat="1" ht="14.25">
      <c r="A11" s="142" t="s">
        <v>172</v>
      </c>
      <c r="B11" s="144"/>
      <c r="C11" s="31" t="s">
        <v>173</v>
      </c>
      <c r="D11" s="32" t="s">
        <v>174</v>
      </c>
      <c r="E11" s="142" t="s">
        <v>175</v>
      </c>
      <c r="F11" s="144"/>
      <c r="G11" s="48" t="s">
        <v>176</v>
      </c>
      <c r="H11" s="48" t="s">
        <v>177</v>
      </c>
      <c r="I11" s="142" t="s">
        <v>178</v>
      </c>
      <c r="J11" s="144"/>
      <c r="K11" s="142" t="s">
        <v>179</v>
      </c>
      <c r="L11" s="144"/>
      <c r="M11" s="142" t="s">
        <v>180</v>
      </c>
      <c r="N11" s="144"/>
      <c r="O11" s="44"/>
    </row>
    <row r="12" spans="1:15" s="25" customFormat="1" ht="14.25">
      <c r="A12" s="160" t="s">
        <v>181</v>
      </c>
      <c r="B12" s="161"/>
      <c r="C12" s="33" t="str">
        <f>报关明细!D10&amp;"CTNS"</f>
        <v>{totalBoxes}CTNS</v>
      </c>
      <c r="D12" s="34" t="s">
        <v>182</v>
      </c>
      <c r="E12" s="162" t="str">
        <f>报关明细!F10</f>
        <v>{totalGrossweight}</v>
      </c>
      <c r="F12" s="163"/>
      <c r="G12" s="34" t="str">
        <f>报关明细!H10</f>
        <v>{totalWeight}</v>
      </c>
      <c r="H12" s="34" t="s">
        <v>183</v>
      </c>
      <c r="I12" s="164"/>
      <c r="J12" s="165"/>
      <c r="K12" s="164"/>
      <c r="L12" s="165"/>
      <c r="M12" s="164"/>
      <c r="N12" s="165"/>
      <c r="O12" s="44"/>
    </row>
    <row r="13" spans="1:15" s="25" customFormat="1" ht="16.5" customHeight="1">
      <c r="A13" s="142" t="s">
        <v>184</v>
      </c>
      <c r="B13" s="143"/>
      <c r="C13" s="143"/>
      <c r="D13" s="143"/>
      <c r="E13" s="141"/>
      <c r="F13" s="141"/>
      <c r="G13" s="141"/>
      <c r="H13" s="141"/>
      <c r="I13" s="141"/>
      <c r="J13" s="141"/>
      <c r="K13" s="141"/>
      <c r="L13" s="141"/>
      <c r="M13" s="141"/>
      <c r="N13" s="166"/>
      <c r="O13" s="44"/>
    </row>
    <row r="14" spans="1:15" s="25" customFormat="1" ht="20.25" customHeight="1">
      <c r="A14" s="167" t="s">
        <v>157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68"/>
      <c r="O14" s="44"/>
    </row>
    <row r="15" spans="1:15" s="25" customFormat="1" ht="16.5" customHeight="1">
      <c r="A15" s="142" t="s">
        <v>185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4"/>
      <c r="O15" s="44"/>
    </row>
    <row r="16" spans="1:15" s="25" customFormat="1" ht="62.25" customHeight="1">
      <c r="A16" s="169" t="s">
        <v>157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1"/>
      <c r="O16" s="44"/>
    </row>
    <row r="17" spans="1:18" s="25" customFormat="1" ht="21" customHeight="1">
      <c r="A17" s="35" t="s">
        <v>186</v>
      </c>
      <c r="B17" s="36" t="s">
        <v>187</v>
      </c>
      <c r="C17" s="172" t="s">
        <v>188</v>
      </c>
      <c r="D17" s="173"/>
      <c r="E17" s="36" t="s">
        <v>189</v>
      </c>
      <c r="F17" s="36" t="s">
        <v>190</v>
      </c>
      <c r="G17" s="36" t="s">
        <v>191</v>
      </c>
      <c r="H17" s="36" t="s">
        <v>192</v>
      </c>
      <c r="I17" s="36" t="s">
        <v>193</v>
      </c>
      <c r="J17" s="36" t="s">
        <v>194</v>
      </c>
      <c r="K17" s="36" t="s">
        <v>195</v>
      </c>
      <c r="L17" s="36" t="s">
        <v>196</v>
      </c>
      <c r="M17" s="172" t="s">
        <v>197</v>
      </c>
      <c r="N17" s="173"/>
      <c r="O17" s="44"/>
      <c r="Q17" s="174"/>
      <c r="R17" s="174"/>
    </row>
    <row r="18" spans="1:18" s="25" customFormat="1" ht="14.25" customHeight="1">
      <c r="A18" s="190">
        <v>1</v>
      </c>
      <c r="B18" s="191" t="str">
        <f>INDEX(报关明细!$A$17:$V$101,A18,2)</f>
        <v>{.hsCode}</v>
      </c>
      <c r="C18" s="175" t="str">
        <f>INDEX(报关明细!$A$17:$V$101,A18,4)</f>
        <v>{.declarationName}</v>
      </c>
      <c r="D18" s="176"/>
      <c r="E18" s="49" t="str">
        <f>INDEX(报关明细!$A$17:$V$101,A18,9)</f>
        <v>{.declarationQuantity}</v>
      </c>
      <c r="F18" s="49" t="str">
        <f>INDEX(报关明细!$A$17:$V$101,A18,8)</f>
        <v>{.hsMeasureUnit}</v>
      </c>
      <c r="G18" s="192" t="str">
        <f>INDEX(报关明细!$A$17:$V$101,A18,13)</f>
        <v>{.declarationUnitPriceAmount}</v>
      </c>
      <c r="H18" s="192" t="str">
        <f>INDEX(报关明细!$A$17:$V$101,A18,14)</f>
        <v>{.declarationTotalPrice}</v>
      </c>
      <c r="I18" s="194" t="e">
        <f>VLOOKUP(报关明细!F5,资料!A34:B40,2,0)</f>
        <v>#N/A</v>
      </c>
      <c r="J18" s="195" t="str">
        <f>IF(H18=0,"","中国")</f>
        <v>中国</v>
      </c>
      <c r="K18" s="196" t="str">
        <f>报关明细!H5</f>
        <v>{tradeCountryName}</v>
      </c>
      <c r="L18" s="196" t="str">
        <f>IF(H18=0,"","宁波")</f>
        <v>宁波</v>
      </c>
      <c r="M18" s="197" t="str">
        <f>IF(H18=0,"","照章征税")</f>
        <v>照章征税</v>
      </c>
      <c r="N18" s="198"/>
      <c r="O18" s="44"/>
    </row>
    <row r="19" spans="1:18" s="25" customFormat="1" ht="14.25" customHeight="1">
      <c r="A19" s="190"/>
      <c r="B19" s="191"/>
      <c r="C19" s="177" t="str">
        <f>INDEX(报关明细!$A$17:$V$101,A18,5)</f>
        <v>{.customsDeclarationNameEng}</v>
      </c>
      <c r="D19" s="178"/>
      <c r="E19" s="49" t="str">
        <f>INDEX(报关明细!$A$17:$V$101,A18,20)</f>
        <v>{.totalNetweightweight}</v>
      </c>
      <c r="F19" s="49" t="str">
        <f>IF(E19=0,"","千克")</f>
        <v>千克</v>
      </c>
      <c r="G19" s="193"/>
      <c r="H19" s="193"/>
      <c r="I19" s="194"/>
      <c r="J19" s="195"/>
      <c r="K19" s="196"/>
      <c r="L19" s="196"/>
      <c r="M19" s="199"/>
      <c r="N19" s="200"/>
      <c r="O19" s="44"/>
    </row>
    <row r="20" spans="1:18" s="25" customFormat="1" ht="14.25" customHeight="1">
      <c r="A20" s="190"/>
      <c r="B20" s="191"/>
      <c r="C20" s="179" t="str">
        <f>INDEX(报关明细!$A$17:$V$101,A18,3)</f>
        <v>{.customsDeclareElements}</v>
      </c>
      <c r="D20" s="180"/>
      <c r="E20" s="49" t="s">
        <v>157</v>
      </c>
      <c r="F20" s="49" t="s">
        <v>157</v>
      </c>
      <c r="G20" s="193"/>
      <c r="H20" s="193"/>
      <c r="I20" s="194"/>
      <c r="J20" s="195"/>
      <c r="K20" s="196"/>
      <c r="L20" s="196"/>
      <c r="M20" s="201"/>
      <c r="N20" s="202"/>
      <c r="O20" s="44"/>
    </row>
    <row r="21" spans="1:18" s="25" customFormat="1" ht="14.25" customHeight="1">
      <c r="A21" s="190">
        <v>2</v>
      </c>
      <c r="B21" s="191">
        <f>INDEX(报关明细!$A$17:$V$101,A21,2)</f>
        <v>0</v>
      </c>
      <c r="C21" s="37">
        <f>INDEX(报关明细!$A$17:$V$101,A21,4)</f>
        <v>0</v>
      </c>
      <c r="D21" s="38"/>
      <c r="E21" s="49">
        <f>INDEX(报关明细!$A$17:$V$101,A21,9)</f>
        <v>0</v>
      </c>
      <c r="F21" s="49">
        <f>INDEX(报关明细!$A$17:$V$101,A21,8)</f>
        <v>0</v>
      </c>
      <c r="G21" s="192">
        <f>INDEX(报关明细!$A$17:$V$101,A21,13)</f>
        <v>0</v>
      </c>
      <c r="H21" s="192">
        <f>INDEX(报关明细!$A$17:$V$101,A21,14)</f>
        <v>0</v>
      </c>
      <c r="I21" s="194" t="str">
        <f>IF(H21=0,"",I18)</f>
        <v/>
      </c>
      <c r="J21" s="195" t="str">
        <f>IF(H21=0,"","中国")</f>
        <v/>
      </c>
      <c r="K21" s="196" t="str">
        <f>IF(H21=0,"",K18)</f>
        <v/>
      </c>
      <c r="L21" s="196" t="str">
        <f>IF(H21=0,"","宁波")</f>
        <v/>
      </c>
      <c r="M21" s="197" t="str">
        <f>IF(H21=0,"","照章征税")</f>
        <v/>
      </c>
      <c r="N21" s="198"/>
      <c r="O21" s="44"/>
    </row>
    <row r="22" spans="1:18" s="25" customFormat="1" ht="14.25" customHeight="1">
      <c r="A22" s="190"/>
      <c r="B22" s="191"/>
      <c r="C22" s="39">
        <f>INDEX(报关明细!$A$17:$V$101,A21,5)</f>
        <v>0</v>
      </c>
      <c r="D22" s="40"/>
      <c r="E22" s="49">
        <f>INDEX(报关明细!$A$17:$V$101,A21,20)</f>
        <v>0</v>
      </c>
      <c r="F22" s="49" t="str">
        <f>IF(E22=0,"","千克")</f>
        <v/>
      </c>
      <c r="G22" s="193"/>
      <c r="H22" s="193"/>
      <c r="I22" s="194"/>
      <c r="J22" s="195"/>
      <c r="K22" s="196"/>
      <c r="L22" s="196"/>
      <c r="M22" s="199"/>
      <c r="N22" s="200"/>
      <c r="O22" s="44"/>
    </row>
    <row r="23" spans="1:18" s="25" customFormat="1" ht="14.25" customHeight="1">
      <c r="A23" s="190"/>
      <c r="B23" s="191"/>
      <c r="C23" s="41">
        <f>INDEX(报关明细!$A$17:$V$101,A21,3)</f>
        <v>0</v>
      </c>
      <c r="D23" s="42"/>
      <c r="E23" s="49"/>
      <c r="F23" s="49"/>
      <c r="G23" s="193"/>
      <c r="H23" s="193"/>
      <c r="I23" s="194"/>
      <c r="J23" s="195"/>
      <c r="K23" s="196"/>
      <c r="L23" s="196"/>
      <c r="M23" s="201"/>
      <c r="N23" s="202"/>
      <c r="O23" s="44"/>
    </row>
    <row r="24" spans="1:18" s="25" customFormat="1" ht="14.25" customHeight="1">
      <c r="A24" s="190">
        <v>3</v>
      </c>
      <c r="B24" s="191">
        <f>INDEX(报关明细!$A$17:$V$101,A24,2)</f>
        <v>0</v>
      </c>
      <c r="C24" s="175">
        <f>INDEX(报关明细!$A$17:$V$101,A24,4)</f>
        <v>0</v>
      </c>
      <c r="D24" s="176"/>
      <c r="E24" s="49">
        <f>INDEX(报关明细!$A$17:$V$101,A24,9)</f>
        <v>0</v>
      </c>
      <c r="F24" s="49">
        <f>INDEX(报关明细!$A$17:$V$101,A24,8)</f>
        <v>0</v>
      </c>
      <c r="G24" s="192">
        <f>INDEX(报关明细!$A$17:$V$101,A24,13)</f>
        <v>0</v>
      </c>
      <c r="H24" s="192">
        <f>INDEX(报关明细!$A$17:$V$101,A24,14)</f>
        <v>0</v>
      </c>
      <c r="I24" s="194" t="str">
        <f>IF(H24=0,"",I21)</f>
        <v/>
      </c>
      <c r="J24" s="195" t="str">
        <f>IF(H24=0,"","中国")</f>
        <v/>
      </c>
      <c r="K24" s="196" t="str">
        <f>IF(H24=0,"",K21)</f>
        <v/>
      </c>
      <c r="L24" s="196" t="str">
        <f>IF(H24=0,"","宁波")</f>
        <v/>
      </c>
      <c r="M24" s="197" t="str">
        <f>IF(H24=0,"","照章征税")</f>
        <v/>
      </c>
      <c r="N24" s="198"/>
      <c r="O24" s="44"/>
    </row>
    <row r="25" spans="1:18" s="25" customFormat="1" ht="14.25" customHeight="1">
      <c r="A25" s="190"/>
      <c r="B25" s="191"/>
      <c r="C25" s="177">
        <f>INDEX(报关明细!$A$17:$V$101,A24,5)</f>
        <v>0</v>
      </c>
      <c r="D25" s="178"/>
      <c r="E25" s="49">
        <f>INDEX(报关明细!$A$17:$V$101,A24,20)</f>
        <v>0</v>
      </c>
      <c r="F25" s="49" t="str">
        <f>IF(E25=0,"","千克")</f>
        <v/>
      </c>
      <c r="G25" s="193"/>
      <c r="H25" s="193"/>
      <c r="I25" s="194"/>
      <c r="J25" s="195"/>
      <c r="K25" s="196"/>
      <c r="L25" s="196"/>
      <c r="M25" s="199"/>
      <c r="N25" s="200"/>
      <c r="O25" s="44"/>
    </row>
    <row r="26" spans="1:18" s="25" customFormat="1" ht="14.25" customHeight="1">
      <c r="A26" s="190"/>
      <c r="B26" s="191"/>
      <c r="C26" s="179">
        <f>INDEX(报关明细!$A$17:$V$101,A24,3)</f>
        <v>0</v>
      </c>
      <c r="D26" s="180"/>
      <c r="E26" s="49"/>
      <c r="F26" s="49"/>
      <c r="G26" s="193"/>
      <c r="H26" s="193"/>
      <c r="I26" s="194"/>
      <c r="J26" s="195"/>
      <c r="K26" s="196"/>
      <c r="L26" s="196"/>
      <c r="M26" s="201"/>
      <c r="N26" s="202"/>
      <c r="O26" s="44"/>
    </row>
    <row r="27" spans="1:18" s="25" customFormat="1" ht="14.25" customHeight="1">
      <c r="A27" s="190">
        <v>4</v>
      </c>
      <c r="B27" s="191">
        <f>INDEX(报关明细!$A$17:$V$101,A27,2)</f>
        <v>0</v>
      </c>
      <c r="C27" s="175">
        <f>INDEX(报关明细!$A$17:$V$101,A27,4)</f>
        <v>0</v>
      </c>
      <c r="D27" s="176"/>
      <c r="E27" s="49">
        <f>INDEX(报关明细!$A$17:$V$101,A27,9)</f>
        <v>0</v>
      </c>
      <c r="F27" s="49">
        <f>INDEX(报关明细!$A$17:$V$101,A27,8)</f>
        <v>0</v>
      </c>
      <c r="G27" s="192">
        <f>INDEX(报关明细!$A$17:$V$101,A27,13)</f>
        <v>0</v>
      </c>
      <c r="H27" s="192">
        <f>INDEX(报关明细!$A$17:$V$101,A27,14)</f>
        <v>0</v>
      </c>
      <c r="I27" s="194" t="str">
        <f>IF(H27=0,"",I24)</f>
        <v/>
      </c>
      <c r="J27" s="195" t="str">
        <f>IF(H27=0,"","中国")</f>
        <v/>
      </c>
      <c r="K27" s="196" t="str">
        <f>IF(H27=0,"",K24)</f>
        <v/>
      </c>
      <c r="L27" s="196" t="str">
        <f>IF(H27=0,"","宁波")</f>
        <v/>
      </c>
      <c r="M27" s="197" t="str">
        <f>IF(H27=0,"","照章征税")</f>
        <v/>
      </c>
      <c r="N27" s="198"/>
      <c r="O27" s="44"/>
    </row>
    <row r="28" spans="1:18" s="25" customFormat="1" ht="14.25" customHeight="1">
      <c r="A28" s="190"/>
      <c r="B28" s="191"/>
      <c r="C28" s="177">
        <f>INDEX(报关明细!$A$17:$V$101,A27,5)</f>
        <v>0</v>
      </c>
      <c r="D28" s="178"/>
      <c r="E28" s="49">
        <f>INDEX(报关明细!$A$17:$V$101,A27,20)</f>
        <v>0</v>
      </c>
      <c r="F28" s="49" t="str">
        <f>IF(E28=0,"","千克")</f>
        <v/>
      </c>
      <c r="G28" s="193"/>
      <c r="H28" s="193"/>
      <c r="I28" s="194"/>
      <c r="J28" s="195"/>
      <c r="K28" s="196"/>
      <c r="L28" s="196"/>
      <c r="M28" s="199"/>
      <c r="N28" s="200"/>
      <c r="O28" s="44"/>
    </row>
    <row r="29" spans="1:18" s="25" customFormat="1" ht="14.25" customHeight="1">
      <c r="A29" s="190"/>
      <c r="B29" s="191"/>
      <c r="C29" s="179">
        <f>INDEX(报关明细!$A$17:$V$101,A27,3)</f>
        <v>0</v>
      </c>
      <c r="D29" s="180"/>
      <c r="E29" s="49"/>
      <c r="F29" s="49"/>
      <c r="G29" s="193"/>
      <c r="H29" s="193"/>
      <c r="I29" s="194"/>
      <c r="J29" s="195"/>
      <c r="K29" s="196"/>
      <c r="L29" s="196"/>
      <c r="M29" s="201"/>
      <c r="N29" s="202"/>
      <c r="O29" s="44"/>
    </row>
    <row r="30" spans="1:18" s="25" customFormat="1" ht="14.25" customHeight="1">
      <c r="A30" s="190">
        <v>5</v>
      </c>
      <c r="B30" s="191">
        <f>INDEX(报关明细!$A$17:$V$101,A30,2)</f>
        <v>0</v>
      </c>
      <c r="C30" s="175">
        <f>INDEX(报关明细!$A$17:$V$101,A30,4)</f>
        <v>0</v>
      </c>
      <c r="D30" s="176"/>
      <c r="E30" s="49">
        <f>INDEX(报关明细!$A$17:$V$101,A30,9)</f>
        <v>0</v>
      </c>
      <c r="F30" s="49">
        <f>INDEX(报关明细!$A$17:$V$101,A30,8)</f>
        <v>0</v>
      </c>
      <c r="G30" s="192">
        <f>INDEX(报关明细!$A$17:$V$101,A30,13)</f>
        <v>0</v>
      </c>
      <c r="H30" s="192">
        <f>INDEX(报关明细!$A$17:$V$101,A30,14)</f>
        <v>0</v>
      </c>
      <c r="I30" s="194" t="str">
        <f>IF(H30=0,"",I27)</f>
        <v/>
      </c>
      <c r="J30" s="195" t="str">
        <f>IF(H30=0,"","中国")</f>
        <v/>
      </c>
      <c r="K30" s="196" t="str">
        <f>IF(H30=0,"",K27)</f>
        <v/>
      </c>
      <c r="L30" s="196" t="str">
        <f>IF(H30=0,"","宁波")</f>
        <v/>
      </c>
      <c r="M30" s="197" t="str">
        <f>IF(H30=0,"","照章征税")</f>
        <v/>
      </c>
      <c r="N30" s="198"/>
      <c r="O30" s="44"/>
    </row>
    <row r="31" spans="1:18" s="25" customFormat="1" ht="14.25" customHeight="1">
      <c r="A31" s="190"/>
      <c r="B31" s="191"/>
      <c r="C31" s="177">
        <f>INDEX(报关明细!$A$17:$V$101,A30,5)</f>
        <v>0</v>
      </c>
      <c r="D31" s="178"/>
      <c r="E31" s="49">
        <f>INDEX(报关明细!$A$17:$V$101,A30,20)</f>
        <v>0</v>
      </c>
      <c r="F31" s="49" t="str">
        <f>IF(E31=0,"","千克")</f>
        <v/>
      </c>
      <c r="G31" s="193"/>
      <c r="H31" s="193"/>
      <c r="I31" s="194"/>
      <c r="J31" s="195"/>
      <c r="K31" s="196"/>
      <c r="L31" s="196"/>
      <c r="M31" s="199"/>
      <c r="N31" s="200"/>
      <c r="O31" s="44"/>
    </row>
    <row r="32" spans="1:18" s="25" customFormat="1" ht="14.25" customHeight="1">
      <c r="A32" s="190"/>
      <c r="B32" s="191"/>
      <c r="C32" s="179">
        <f>INDEX(报关明细!$A$17:$V$101,A30,3)</f>
        <v>0</v>
      </c>
      <c r="D32" s="180"/>
      <c r="E32" s="49"/>
      <c r="F32" s="49"/>
      <c r="G32" s="193"/>
      <c r="H32" s="193"/>
      <c r="I32" s="194"/>
      <c r="J32" s="195"/>
      <c r="K32" s="196"/>
      <c r="L32" s="196"/>
      <c r="M32" s="201"/>
      <c r="N32" s="202"/>
      <c r="O32" s="44"/>
    </row>
    <row r="33" spans="1:15" s="25" customFormat="1" ht="14.25" customHeight="1">
      <c r="A33" s="190">
        <v>6</v>
      </c>
      <c r="B33" s="191">
        <f>INDEX(报关明细!$A$17:$V$101,A33,2)</f>
        <v>0</v>
      </c>
      <c r="C33" s="175">
        <f>INDEX(报关明细!$A$17:$V$101,A33,4)</f>
        <v>0</v>
      </c>
      <c r="D33" s="176"/>
      <c r="E33" s="49">
        <f>INDEX(报关明细!$A$17:$V$101,A33,9)</f>
        <v>0</v>
      </c>
      <c r="F33" s="49">
        <f>INDEX(报关明细!$A$17:$V$101,A33,8)</f>
        <v>0</v>
      </c>
      <c r="G33" s="192">
        <f>INDEX(报关明细!$A$17:$V$101,A33,13)</f>
        <v>0</v>
      </c>
      <c r="H33" s="192">
        <f>INDEX(报关明细!$A$17:$V$101,A33,14)</f>
        <v>0</v>
      </c>
      <c r="I33" s="194" t="str">
        <f>IF(H33=0,"",I30)</f>
        <v/>
      </c>
      <c r="J33" s="195" t="str">
        <f>IF(H33=0,"","中国")</f>
        <v/>
      </c>
      <c r="K33" s="196" t="str">
        <f>IF(H33=0,"",K30)</f>
        <v/>
      </c>
      <c r="L33" s="196" t="str">
        <f>IF(H33=0,"","宁波")</f>
        <v/>
      </c>
      <c r="M33" s="197" t="str">
        <f>IF(H33=0,"","照章征税")</f>
        <v/>
      </c>
      <c r="N33" s="198"/>
      <c r="O33" s="44"/>
    </row>
    <row r="34" spans="1:15" s="25" customFormat="1" ht="14.25" customHeight="1">
      <c r="A34" s="190"/>
      <c r="B34" s="191"/>
      <c r="C34" s="177">
        <f>INDEX(报关明细!$A$17:$V$101,A33,5)</f>
        <v>0</v>
      </c>
      <c r="D34" s="178"/>
      <c r="E34" s="49">
        <f>INDEX(报关明细!$A$17:$V$101,A33,20)</f>
        <v>0</v>
      </c>
      <c r="F34" s="49" t="str">
        <f>IF(E34=0,"","千克")</f>
        <v/>
      </c>
      <c r="G34" s="193"/>
      <c r="H34" s="193"/>
      <c r="I34" s="194"/>
      <c r="J34" s="195"/>
      <c r="K34" s="196"/>
      <c r="L34" s="196"/>
      <c r="M34" s="199"/>
      <c r="N34" s="200"/>
      <c r="O34" s="44"/>
    </row>
    <row r="35" spans="1:15" s="25" customFormat="1" ht="14.25" customHeight="1">
      <c r="A35" s="190"/>
      <c r="B35" s="191"/>
      <c r="C35" s="179">
        <f>INDEX(报关明细!$A$17:$V$101,A33,3)</f>
        <v>0</v>
      </c>
      <c r="D35" s="180"/>
      <c r="E35" s="49"/>
      <c r="F35" s="49"/>
      <c r="G35" s="193"/>
      <c r="H35" s="193"/>
      <c r="I35" s="194"/>
      <c r="J35" s="195"/>
      <c r="K35" s="196"/>
      <c r="L35" s="196"/>
      <c r="M35" s="201"/>
      <c r="N35" s="202"/>
      <c r="O35" s="44"/>
    </row>
    <row r="36" spans="1:15" s="25" customFormat="1" ht="14.25" customHeight="1">
      <c r="A36" s="190">
        <v>7</v>
      </c>
      <c r="B36" s="191">
        <f>INDEX(报关明细!$A$17:$V$101,A36,2)</f>
        <v>0</v>
      </c>
      <c r="C36" s="175">
        <f>INDEX(报关明细!$A$17:$V$101,A36,4)</f>
        <v>0</v>
      </c>
      <c r="D36" s="176"/>
      <c r="E36" s="49">
        <f>INDEX(报关明细!$A$17:$V$101,A36,9)</f>
        <v>0</v>
      </c>
      <c r="F36" s="49">
        <f>INDEX(报关明细!$A$17:$V$101,A36,8)</f>
        <v>0</v>
      </c>
      <c r="G36" s="192">
        <f>INDEX(报关明细!$A$17:$V$101,A36,13)</f>
        <v>0</v>
      </c>
      <c r="H36" s="192">
        <f>INDEX(报关明细!$A$17:$V$101,A36,14)</f>
        <v>0</v>
      </c>
      <c r="I36" s="194" t="str">
        <f>IF(H36=0,"",I33)</f>
        <v/>
      </c>
      <c r="J36" s="195" t="str">
        <f>IF(H36=0,"","中国")</f>
        <v/>
      </c>
      <c r="K36" s="196" t="str">
        <f>IF(H36=0,"",K33)</f>
        <v/>
      </c>
      <c r="L36" s="196" t="str">
        <f>IF(H36=0,"","宁波")</f>
        <v/>
      </c>
      <c r="M36" s="197" t="str">
        <f>IF(H36=0,"","照章征税")</f>
        <v/>
      </c>
      <c r="N36" s="198"/>
      <c r="O36" s="44"/>
    </row>
    <row r="37" spans="1:15" s="25" customFormat="1" ht="14.25" customHeight="1">
      <c r="A37" s="190"/>
      <c r="B37" s="191"/>
      <c r="C37" s="177">
        <f>INDEX(报关明细!$A$17:$V$101,A36,5)</f>
        <v>0</v>
      </c>
      <c r="D37" s="178"/>
      <c r="E37" s="49">
        <f>INDEX(报关明细!$A$17:$V$101,A36,20)</f>
        <v>0</v>
      </c>
      <c r="F37" s="49" t="str">
        <f>IF(E37=0,"","千克")</f>
        <v/>
      </c>
      <c r="G37" s="193"/>
      <c r="H37" s="193"/>
      <c r="I37" s="194"/>
      <c r="J37" s="195"/>
      <c r="K37" s="196"/>
      <c r="L37" s="196"/>
      <c r="M37" s="199"/>
      <c r="N37" s="200"/>
      <c r="O37" s="44"/>
    </row>
    <row r="38" spans="1:15" s="25" customFormat="1" ht="14.25" customHeight="1">
      <c r="A38" s="190"/>
      <c r="B38" s="191"/>
      <c r="C38" s="179">
        <f>INDEX(报关明细!$A$17:$V$101,A36,3)</f>
        <v>0</v>
      </c>
      <c r="D38" s="180"/>
      <c r="E38" s="49"/>
      <c r="F38" s="49"/>
      <c r="G38" s="193"/>
      <c r="H38" s="193"/>
      <c r="I38" s="194"/>
      <c r="J38" s="195"/>
      <c r="K38" s="196"/>
      <c r="L38" s="196"/>
      <c r="M38" s="201"/>
      <c r="N38" s="202"/>
      <c r="O38" s="44"/>
    </row>
    <row r="39" spans="1:15" s="25" customFormat="1" ht="14.25" customHeight="1">
      <c r="A39" s="190">
        <v>8</v>
      </c>
      <c r="B39" s="191">
        <f>INDEX(报关明细!$A$17:$V$101,A39,2)</f>
        <v>0</v>
      </c>
      <c r="C39" s="175">
        <f>INDEX(报关明细!$A$17:$V$101,A39,4)</f>
        <v>0</v>
      </c>
      <c r="D39" s="176"/>
      <c r="E39" s="49">
        <f>INDEX(报关明细!$A$17:$V$101,A39,9)</f>
        <v>0</v>
      </c>
      <c r="F39" s="49">
        <f>INDEX(报关明细!$A$17:$V$101,A39,8)</f>
        <v>0</v>
      </c>
      <c r="G39" s="192">
        <f>INDEX(报关明细!$A$17:$V$101,A39,13)</f>
        <v>0</v>
      </c>
      <c r="H39" s="192">
        <f>INDEX(报关明细!$A$17:$V$101,A39,14)</f>
        <v>0</v>
      </c>
      <c r="I39" s="194" t="str">
        <f>IF(H39=0,"",I36)</f>
        <v/>
      </c>
      <c r="J39" s="195" t="str">
        <f>IF(H39=0,"","中国")</f>
        <v/>
      </c>
      <c r="K39" s="196" t="str">
        <f>IF(H39=0,"",K36)</f>
        <v/>
      </c>
      <c r="L39" s="196" t="str">
        <f>IF(H39=0,"","宁波")</f>
        <v/>
      </c>
      <c r="M39" s="197" t="str">
        <f>IF(H39=0,"","照章征税")</f>
        <v/>
      </c>
      <c r="N39" s="198"/>
      <c r="O39" s="44"/>
    </row>
    <row r="40" spans="1:15" s="25" customFormat="1" ht="14.25" customHeight="1">
      <c r="A40" s="190"/>
      <c r="B40" s="191"/>
      <c r="C40" s="177">
        <f>INDEX(报关明细!$A$17:$V$101,A39,5)</f>
        <v>0</v>
      </c>
      <c r="D40" s="178"/>
      <c r="E40" s="49">
        <f>INDEX(报关明细!$A$17:$V$101,A39,20)</f>
        <v>0</v>
      </c>
      <c r="F40" s="49" t="str">
        <f>IF(E40=0,"","千克")</f>
        <v/>
      </c>
      <c r="G40" s="193"/>
      <c r="H40" s="193"/>
      <c r="I40" s="194"/>
      <c r="J40" s="195"/>
      <c r="K40" s="196"/>
      <c r="L40" s="196"/>
      <c r="M40" s="199"/>
      <c r="N40" s="200"/>
      <c r="O40" s="44"/>
    </row>
    <row r="41" spans="1:15" s="25" customFormat="1" ht="14.25" customHeight="1">
      <c r="A41" s="190"/>
      <c r="B41" s="191"/>
      <c r="C41" s="179">
        <f>INDEX(报关明细!$A$17:$V$101,A39,3)</f>
        <v>0</v>
      </c>
      <c r="D41" s="180"/>
      <c r="E41" s="49"/>
      <c r="F41" s="49"/>
      <c r="G41" s="193"/>
      <c r="H41" s="193"/>
      <c r="I41" s="194"/>
      <c r="J41" s="195"/>
      <c r="K41" s="196"/>
      <c r="L41" s="196"/>
      <c r="M41" s="201"/>
      <c r="N41" s="202"/>
      <c r="O41" s="44"/>
    </row>
    <row r="42" spans="1:15" s="25" customFormat="1" ht="14.25" customHeight="1">
      <c r="A42" s="190">
        <v>9</v>
      </c>
      <c r="B42" s="191">
        <f>报关明细!B26</f>
        <v>0</v>
      </c>
      <c r="C42" s="181">
        <f>报关明细!D26</f>
        <v>0</v>
      </c>
      <c r="D42" s="182"/>
      <c r="E42" s="49">
        <f>INDEX(报关明细!$A$17:$V$101,A42,9)</f>
        <v>0</v>
      </c>
      <c r="F42" s="49">
        <f>报关明细!H26</f>
        <v>0</v>
      </c>
      <c r="G42" s="192">
        <f>INDEX(报关明细!$A$17:$V$101,A42,13)</f>
        <v>0</v>
      </c>
      <c r="H42" s="192">
        <f>INDEX(报关明细!$A$17:$V$101,A42,14)</f>
        <v>0</v>
      </c>
      <c r="I42" s="194" t="str">
        <f>IF(H42=0,"",I39)</f>
        <v/>
      </c>
      <c r="J42" s="195" t="str">
        <f>IF(H42=0,"","中国")</f>
        <v/>
      </c>
      <c r="K42" s="196" t="str">
        <f>IF(H42=0,"",K39)</f>
        <v/>
      </c>
      <c r="L42" s="196" t="str">
        <f>IF(H42=0,"","宁波")</f>
        <v/>
      </c>
      <c r="M42" s="197" t="str">
        <f>IF(H42=0,"","照章征税")</f>
        <v/>
      </c>
      <c r="N42" s="198"/>
      <c r="O42" s="44"/>
    </row>
    <row r="43" spans="1:15" s="25" customFormat="1" ht="14.25" customHeight="1">
      <c r="A43" s="190"/>
      <c r="B43" s="191"/>
      <c r="C43" s="183">
        <f>报关明细!E26</f>
        <v>0</v>
      </c>
      <c r="D43" s="184"/>
      <c r="E43" s="49">
        <f>INDEX(报关明细!$A$17:$V$101,A42,20)</f>
        <v>0</v>
      </c>
      <c r="F43" s="49" t="str">
        <f>IF(E43=0,"","千克")</f>
        <v/>
      </c>
      <c r="G43" s="193"/>
      <c r="H43" s="193"/>
      <c r="I43" s="194"/>
      <c r="J43" s="195"/>
      <c r="K43" s="196"/>
      <c r="L43" s="196"/>
      <c r="M43" s="199"/>
      <c r="N43" s="200"/>
      <c r="O43" s="44"/>
    </row>
    <row r="44" spans="1:15" s="25" customFormat="1" ht="14.25" customHeight="1">
      <c r="A44" s="190"/>
      <c r="B44" s="191"/>
      <c r="C44" s="185"/>
      <c r="D44" s="186"/>
      <c r="E44" s="49"/>
      <c r="F44" s="49"/>
      <c r="G44" s="193"/>
      <c r="H44" s="193"/>
      <c r="I44" s="194"/>
      <c r="J44" s="195"/>
      <c r="K44" s="196"/>
      <c r="L44" s="196"/>
      <c r="M44" s="201"/>
      <c r="N44" s="202"/>
      <c r="O44" s="44"/>
    </row>
    <row r="45" spans="1:15" s="25" customFormat="1" ht="14.25">
      <c r="A45" s="28" t="s">
        <v>198</v>
      </c>
      <c r="B45" s="29"/>
      <c r="C45" s="29"/>
      <c r="D45" s="29" t="s">
        <v>199</v>
      </c>
      <c r="E45" s="29"/>
      <c r="F45" s="29"/>
      <c r="G45" s="29" t="s">
        <v>200</v>
      </c>
      <c r="H45" s="29"/>
      <c r="I45" s="143"/>
      <c r="J45" s="143"/>
      <c r="K45" s="43" t="s">
        <v>201</v>
      </c>
      <c r="L45" s="187"/>
      <c r="M45" s="187"/>
      <c r="N45" s="188"/>
      <c r="O45" s="44"/>
    </row>
    <row r="46" spans="1:15" s="25" customFormat="1" ht="14.25">
      <c r="A46" s="142" t="s">
        <v>202</v>
      </c>
      <c r="B46" s="143"/>
      <c r="C46" s="29" t="s">
        <v>203</v>
      </c>
      <c r="D46" s="143" t="s">
        <v>204</v>
      </c>
      <c r="E46" s="143"/>
      <c r="F46" s="143"/>
      <c r="G46" s="29" t="s">
        <v>205</v>
      </c>
      <c r="H46" s="29"/>
      <c r="I46" s="29"/>
      <c r="J46" s="51"/>
      <c r="K46" s="203" t="s">
        <v>206</v>
      </c>
      <c r="L46" s="203"/>
      <c r="M46" s="203"/>
      <c r="N46" s="204"/>
      <c r="O46" s="44"/>
    </row>
    <row r="47" spans="1:15" s="25" customFormat="1" ht="14.25">
      <c r="A47" s="189" t="s">
        <v>207</v>
      </c>
      <c r="B47" s="187"/>
      <c r="C47" s="187"/>
      <c r="D47" s="187"/>
      <c r="E47" s="187"/>
      <c r="F47" s="187"/>
      <c r="G47" s="188"/>
      <c r="H47" s="187" t="s">
        <v>208</v>
      </c>
      <c r="I47" s="187"/>
      <c r="J47" s="188"/>
      <c r="K47" s="205"/>
      <c r="L47" s="205"/>
      <c r="M47" s="205"/>
      <c r="N47" s="206"/>
      <c r="O47" s="44"/>
    </row>
    <row r="48" spans="1:15" s="25" customFormat="1" ht="14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s="25" customFormat="1" ht="14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s="25" customFormat="1" ht="14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s="25" customFormat="1" ht="14.25"/>
    <row r="52" spans="1:15" s="25" customFormat="1" ht="18.75">
      <c r="D52" s="45"/>
    </row>
    <row r="53" spans="1:15" s="25" customFormat="1" ht="14.25">
      <c r="D53" s="46"/>
    </row>
    <row r="54" spans="1:15" s="25" customFormat="1" ht="14.25">
      <c r="D54" s="46"/>
    </row>
    <row r="55" spans="1:15" s="25" customFormat="1" ht="14.25">
      <c r="D55" s="46"/>
    </row>
    <row r="56" spans="1:15" s="25" customFormat="1" ht="14.25"/>
    <row r="57" spans="1:15" s="25" customFormat="1" ht="14.25"/>
    <row r="58" spans="1:15" s="25" customFormat="1" ht="14.25"/>
    <row r="59" spans="1:15" s="25" customFormat="1" ht="14.25"/>
    <row r="60" spans="1:15" s="25" customFormat="1" ht="14.25"/>
    <row r="61" spans="1:15" s="25" customFormat="1" ht="14.25"/>
    <row r="62" spans="1:15" s="25" customFormat="1" ht="14.25"/>
    <row r="63" spans="1:15" s="25" customFormat="1" ht="14.25"/>
    <row r="64" spans="1:15" s="25" customFormat="1" ht="14.25"/>
    <row r="65" s="25" customFormat="1" ht="14.25"/>
    <row r="66" s="25" customFormat="1" ht="14.25"/>
    <row r="67" s="25" customFormat="1" ht="14.25"/>
    <row r="68" s="25" customFormat="1" ht="14.25"/>
    <row r="69" s="25" customFormat="1" ht="14.25"/>
    <row r="70" s="25" customFormat="1" ht="14.25"/>
    <row r="71" s="25" customFormat="1" ht="14.25"/>
    <row r="72" s="25" customFormat="1" ht="14.25"/>
    <row r="73" s="25" customFormat="1" ht="14.25"/>
    <row r="74" s="25" customFormat="1" ht="14.25"/>
    <row r="75" s="25" customFormat="1" ht="14.25"/>
    <row r="76" s="25" customFormat="1" ht="14.25"/>
    <row r="77" s="25" customFormat="1" ht="14.25"/>
    <row r="78" s="25" customFormat="1" ht="14.25"/>
    <row r="79" s="25" customFormat="1" ht="14.25"/>
    <row r="80" s="25" customFormat="1" ht="14.25"/>
    <row r="81" s="25" customFormat="1" ht="14.25"/>
    <row r="82" s="25" customFormat="1" ht="14.25"/>
    <row r="83" s="25" customFormat="1" ht="14.25"/>
    <row r="84" s="25" customFormat="1" ht="14.25"/>
    <row r="85" s="25" customFormat="1" ht="14.25"/>
    <row r="86" s="26" customFormat="1" ht="13.5"/>
    <row r="87" s="26" customFormat="1" ht="13.5"/>
    <row r="88" s="26" customFormat="1" ht="13.5"/>
    <row r="89" s="26" customFormat="1" ht="13.5"/>
    <row r="90" s="26" customFormat="1" ht="13.5"/>
    <row r="91" s="26" customFormat="1" ht="13.5"/>
  </sheetData>
  <mergeCells count="169">
    <mergeCell ref="K46:N47"/>
    <mergeCell ref="L27:L29"/>
    <mergeCell ref="L30:L32"/>
    <mergeCell ref="L33:L35"/>
    <mergeCell ref="L36:L38"/>
    <mergeCell ref="L39:L41"/>
    <mergeCell ref="L42:L44"/>
    <mergeCell ref="M36:N38"/>
    <mergeCell ref="M39:N41"/>
    <mergeCell ref="M42:N44"/>
    <mergeCell ref="M27:N29"/>
    <mergeCell ref="M30:N32"/>
    <mergeCell ref="M33:N35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7:D17"/>
    <mergeCell ref="M17:N17"/>
    <mergeCell ref="Q17:R17"/>
    <mergeCell ref="C18:D18"/>
    <mergeCell ref="C19:D19"/>
    <mergeCell ref="C20:D20"/>
    <mergeCell ref="C24:D24"/>
    <mergeCell ref="C25:D25"/>
    <mergeCell ref="C26:D26"/>
    <mergeCell ref="H18:H20"/>
    <mergeCell ref="H21:H23"/>
    <mergeCell ref="H24:H26"/>
    <mergeCell ref="J18:J20"/>
    <mergeCell ref="J21:J23"/>
    <mergeCell ref="J24:J26"/>
    <mergeCell ref="L18:L20"/>
    <mergeCell ref="L21:L23"/>
    <mergeCell ref="L24:L26"/>
    <mergeCell ref="M18:N20"/>
    <mergeCell ref="M21:N23"/>
    <mergeCell ref="M24:N26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</mergeCells>
  <phoneticPr fontId="31" type="noConversion"/>
  <pageMargins left="0.71" right="0.71" top="0.75" bottom="0.75" header="0.31" footer="0.31"/>
  <pageSetup paperSize="9" scale="79" fitToHeight="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45"/>
  <sheetViews>
    <sheetView showZeros="0" workbookViewId="0">
      <selection activeCell="L10" sqref="L10"/>
    </sheetView>
  </sheetViews>
  <sheetFormatPr defaultColWidth="9.125" defaultRowHeight="14.25"/>
  <cols>
    <col min="1" max="1" width="2.375" style="4" customWidth="1"/>
    <col min="2" max="2" width="14.75" style="4" customWidth="1"/>
    <col min="3" max="3" width="13.125" style="4" customWidth="1"/>
    <col min="4" max="4" width="13.25" style="4" customWidth="1"/>
    <col min="5" max="5" width="8.25" style="4" customWidth="1"/>
    <col min="6" max="6" width="5.375" style="4" customWidth="1"/>
    <col min="7" max="7" width="7" style="4" customWidth="1"/>
    <col min="8" max="8" width="5.375" style="4" customWidth="1"/>
    <col min="9" max="9" width="12.625" style="4" customWidth="1"/>
    <col min="10" max="34" width="9" style="4"/>
    <col min="35" max="16384" width="9.125" style="4"/>
  </cols>
  <sheetData>
    <row r="1" spans="2:12" ht="27">
      <c r="B1" s="207" t="str">
        <f>报关明细!B13</f>
        <v>{companyTitle}</v>
      </c>
      <c r="C1" s="207"/>
      <c r="D1" s="207"/>
      <c r="E1" s="207"/>
      <c r="F1" s="207"/>
      <c r="G1" s="207"/>
      <c r="H1" s="207"/>
      <c r="I1" s="207"/>
    </row>
    <row r="2" spans="2:12" ht="22.5">
      <c r="B2" s="208" t="e">
        <f>VLOOKUP(B1,资料!A3:D8,2,0)</f>
        <v>#N/A</v>
      </c>
      <c r="C2" s="208"/>
      <c r="D2" s="208"/>
      <c r="E2" s="208"/>
      <c r="F2" s="208"/>
      <c r="G2" s="208"/>
      <c r="H2" s="208"/>
      <c r="I2" s="208"/>
    </row>
    <row r="3" spans="2:12" ht="18.75">
      <c r="B3" s="209" t="s">
        <v>209</v>
      </c>
      <c r="C3" s="209"/>
      <c r="D3" s="209"/>
      <c r="E3" s="209"/>
      <c r="F3" s="209"/>
      <c r="G3" s="209"/>
      <c r="H3" s="209"/>
      <c r="I3" s="209"/>
    </row>
    <row r="4" spans="2:12">
      <c r="B4" s="5"/>
      <c r="C4" s="5"/>
      <c r="D4" s="6"/>
      <c r="E4" s="6"/>
      <c r="F4" s="6"/>
      <c r="G4" s="6"/>
      <c r="H4" s="6"/>
    </row>
    <row r="5" spans="2:12">
      <c r="B5" s="5" t="s">
        <v>210</v>
      </c>
      <c r="C5" s="5" t="str">
        <f>报关明细!B5</f>
        <v>{saleContractCode}</v>
      </c>
      <c r="E5" s="5" t="s">
        <v>211</v>
      </c>
      <c r="F5" s="210" t="str">
        <f>LEFT(报关明细!F3,10)</f>
        <v>{inputDate</v>
      </c>
      <c r="G5" s="210"/>
      <c r="H5" s="210"/>
      <c r="I5" s="210"/>
    </row>
    <row r="6" spans="2:12">
      <c r="C6" s="5"/>
      <c r="D6" s="5" t="s">
        <v>212</v>
      </c>
      <c r="E6" s="6"/>
      <c r="F6" s="6"/>
      <c r="G6" s="6"/>
      <c r="H6" s="6"/>
    </row>
    <row r="7" spans="2:12">
      <c r="B7" s="7" t="s">
        <v>213</v>
      </c>
      <c r="C7" s="210" t="str">
        <f>报关明细!D6</f>
        <v>{custName}</v>
      </c>
      <c r="D7" s="210"/>
      <c r="E7" s="210"/>
      <c r="F7" s="6"/>
      <c r="G7" s="6"/>
      <c r="H7" s="6"/>
    </row>
    <row r="8" spans="2:12">
      <c r="B8" s="8"/>
      <c r="C8" s="8"/>
      <c r="D8" s="8"/>
      <c r="E8" s="6"/>
      <c r="F8" s="6"/>
      <c r="G8" s="6"/>
      <c r="H8" s="6"/>
    </row>
    <row r="9" spans="2:12">
      <c r="B9" s="211" t="s">
        <v>214</v>
      </c>
      <c r="C9" s="211"/>
      <c r="D9" s="211"/>
      <c r="E9" s="211"/>
      <c r="F9" s="211"/>
      <c r="G9" s="211"/>
      <c r="H9" s="211"/>
      <c r="I9" s="211"/>
    </row>
    <row r="10" spans="2:12" ht="21.75" customHeight="1">
      <c r="B10" s="212" t="s">
        <v>215</v>
      </c>
      <c r="C10" s="212"/>
      <c r="D10" s="5"/>
      <c r="E10" s="6"/>
      <c r="F10" s="6"/>
      <c r="G10" s="6"/>
      <c r="H10" s="6"/>
      <c r="L10" s="4" t="s">
        <v>216</v>
      </c>
    </row>
    <row r="11" spans="2:12" ht="26.25" customHeight="1">
      <c r="B11" s="9" t="s">
        <v>217</v>
      </c>
      <c r="C11" s="10"/>
      <c r="D11" s="213" t="s">
        <v>218</v>
      </c>
      <c r="E11" s="214"/>
      <c r="F11" s="215" t="s">
        <v>219</v>
      </c>
      <c r="G11" s="216"/>
      <c r="H11" s="215" t="s">
        <v>220</v>
      </c>
      <c r="I11" s="216"/>
      <c r="J11" s="6"/>
    </row>
    <row r="12" spans="2:12">
      <c r="B12" s="217"/>
      <c r="C12" s="218"/>
      <c r="D12" s="11"/>
      <c r="E12" s="17"/>
      <c r="F12" s="219" t="str">
        <f>报关明细!H6&amp;报关明细!D8</f>
        <v>{settlementTermType}{departurePortName}</v>
      </c>
      <c r="G12" s="220"/>
      <c r="H12" s="219"/>
      <c r="I12" s="220"/>
      <c r="J12" s="6"/>
    </row>
    <row r="13" spans="2:12">
      <c r="B13" s="217" t="str">
        <f>INDEX(报关明细!$A$17:$V$101,ROW()-12,5)</f>
        <v>{.customsDeclarationNameEng}</v>
      </c>
      <c r="C13" s="218"/>
      <c r="D13" s="12" t="str">
        <f>INDEX(报关明细!$A$17:$V$101,ROW()-12,9)</f>
        <v>{.declarationQuantity}</v>
      </c>
      <c r="E13" s="18" t="str">
        <f>IF(D13=0,"","PCS")</f>
        <v>PCS</v>
      </c>
      <c r="F13" s="19" t="str">
        <f>报关明细!F5</f>
        <v>{currency}</v>
      </c>
      <c r="G13" s="20" t="str">
        <f>INDEX(报关明细!$A$17:$V$101,ROW()-12,13)</f>
        <v>{.declarationUnitPriceAmount}</v>
      </c>
      <c r="H13" s="12" t="str">
        <f>报关明细!F5</f>
        <v>{currency}</v>
      </c>
      <c r="I13" s="20" t="str">
        <f>INDEX(报关明细!$A$17:$V$101,ROW()-12,14)</f>
        <v>{.declarationTotalPrice}</v>
      </c>
      <c r="J13" s="6"/>
    </row>
    <row r="14" spans="2:12">
      <c r="B14" s="217">
        <f>INDEX(报关明细!$A$17:$V$101,ROW()-12,5)</f>
        <v>0</v>
      </c>
      <c r="C14" s="218"/>
      <c r="D14" s="12">
        <f>INDEX(报关明细!$A$17:$V$101,ROW()-12,9)</f>
        <v>0</v>
      </c>
      <c r="E14" s="18" t="str">
        <f t="shared" ref="E14:E24" si="0">IF(D14=0,"","PCS")</f>
        <v/>
      </c>
      <c r="F14" s="19" t="str">
        <f>IF(G14=0,"",$F$13)</f>
        <v/>
      </c>
      <c r="G14" s="20">
        <f>INDEX(报关明细!$A$17:$V$101,ROW()-12,13)</f>
        <v>0</v>
      </c>
      <c r="H14" s="12" t="str">
        <f>IF(I14=0,"",$H$13)</f>
        <v/>
      </c>
      <c r="I14" s="20">
        <f>INDEX(报关明细!$A$17:$V$101,ROW()-12,14)</f>
        <v>0</v>
      </c>
      <c r="J14" s="6"/>
    </row>
    <row r="15" spans="2:12">
      <c r="B15" s="217">
        <f>INDEX(报关明细!$A$17:$V$101,ROW()-12,5)</f>
        <v>0</v>
      </c>
      <c r="C15" s="218"/>
      <c r="D15" s="12">
        <f>INDEX(报关明细!$A$17:$V$101,ROW()-12,9)</f>
        <v>0</v>
      </c>
      <c r="E15" s="18" t="str">
        <f t="shared" si="0"/>
        <v/>
      </c>
      <c r="F15" s="19" t="str">
        <f t="shared" ref="F15:F24" si="1">IF(G15=0,"",$F$13)</f>
        <v/>
      </c>
      <c r="G15" s="20">
        <f>INDEX(报关明细!$A$17:$V$101,ROW()-12,13)</f>
        <v>0</v>
      </c>
      <c r="H15" s="12" t="str">
        <f t="shared" ref="H15:H24" si="2">IF(I15=0,"",$H$13)</f>
        <v/>
      </c>
      <c r="I15" s="20">
        <f>INDEX(报关明细!$A$17:$V$101,ROW()-12,14)</f>
        <v>0</v>
      </c>
      <c r="J15" s="6"/>
    </row>
    <row r="16" spans="2:12">
      <c r="B16" s="217">
        <f>INDEX(报关明细!$A$17:$V$101,ROW()-12,5)</f>
        <v>0</v>
      </c>
      <c r="C16" s="218"/>
      <c r="D16" s="12">
        <f>INDEX(报关明细!$A$17:$V$101,ROW()-12,9)</f>
        <v>0</v>
      </c>
      <c r="E16" s="18" t="str">
        <f t="shared" si="0"/>
        <v/>
      </c>
      <c r="F16" s="19" t="str">
        <f t="shared" si="1"/>
        <v/>
      </c>
      <c r="G16" s="20">
        <f>INDEX(报关明细!$A$17:$V$101,ROW()-12,13)</f>
        <v>0</v>
      </c>
      <c r="H16" s="12" t="str">
        <f t="shared" si="2"/>
        <v/>
      </c>
      <c r="I16" s="20">
        <f>INDEX(报关明细!$A$17:$V$101,ROW()-12,14)</f>
        <v>0</v>
      </c>
      <c r="J16" s="6"/>
    </row>
    <row r="17" spans="2:10">
      <c r="B17" s="217">
        <f>INDEX(报关明细!$A$17:$V$101,ROW()-12,5)</f>
        <v>0</v>
      </c>
      <c r="C17" s="218"/>
      <c r="D17" s="12">
        <f>INDEX(报关明细!$A$17:$V$101,ROW()-12,9)</f>
        <v>0</v>
      </c>
      <c r="E17" s="18" t="str">
        <f t="shared" si="0"/>
        <v/>
      </c>
      <c r="F17" s="19" t="str">
        <f t="shared" si="1"/>
        <v/>
      </c>
      <c r="G17" s="20">
        <f>INDEX(报关明细!$A$17:$V$101,ROW()-12,13)</f>
        <v>0</v>
      </c>
      <c r="H17" s="12" t="str">
        <f t="shared" si="2"/>
        <v/>
      </c>
      <c r="I17" s="20">
        <f>INDEX(报关明细!$A$17:$V$101,ROW()-12,14)</f>
        <v>0</v>
      </c>
      <c r="J17" s="6"/>
    </row>
    <row r="18" spans="2:10">
      <c r="B18" s="217">
        <f>INDEX(报关明细!$A$17:$V$101,ROW()-12,5)</f>
        <v>0</v>
      </c>
      <c r="C18" s="218"/>
      <c r="D18" s="12">
        <f>INDEX(报关明细!$A$17:$V$101,ROW()-12,9)</f>
        <v>0</v>
      </c>
      <c r="E18" s="18" t="str">
        <f t="shared" si="0"/>
        <v/>
      </c>
      <c r="F18" s="19" t="str">
        <f t="shared" si="1"/>
        <v/>
      </c>
      <c r="G18" s="20">
        <f>INDEX(报关明细!$A$17:$V$101,ROW()-12,13)</f>
        <v>0</v>
      </c>
      <c r="H18" s="12" t="str">
        <f t="shared" si="2"/>
        <v/>
      </c>
      <c r="I18" s="20">
        <f>INDEX(报关明细!$A$17:$V$101,ROW()-12,14)</f>
        <v>0</v>
      </c>
      <c r="J18" s="6"/>
    </row>
    <row r="19" spans="2:10">
      <c r="B19" s="217">
        <f>INDEX(报关明细!$A$17:$V$101,ROW()-12,5)</f>
        <v>0</v>
      </c>
      <c r="C19" s="218"/>
      <c r="D19" s="12">
        <f>INDEX(报关明细!$A$17:$V$101,ROW()-12,9)</f>
        <v>0</v>
      </c>
      <c r="E19" s="18" t="str">
        <f t="shared" si="0"/>
        <v/>
      </c>
      <c r="F19" s="19" t="str">
        <f t="shared" si="1"/>
        <v/>
      </c>
      <c r="G19" s="20">
        <f>INDEX(报关明细!$A$17:$V$101,ROW()-12,13)</f>
        <v>0</v>
      </c>
      <c r="H19" s="12" t="str">
        <f t="shared" si="2"/>
        <v/>
      </c>
      <c r="I19" s="20">
        <f>INDEX(报关明细!$A$17:$V$101,ROW()-12,14)</f>
        <v>0</v>
      </c>
      <c r="J19" s="6"/>
    </row>
    <row r="20" spans="2:10">
      <c r="B20" s="217">
        <f>INDEX(报关明细!$A$17:$V$101,ROW()-12,5)</f>
        <v>0</v>
      </c>
      <c r="C20" s="218"/>
      <c r="D20" s="12">
        <f>INDEX(报关明细!$A$17:$V$101,ROW()-12,9)</f>
        <v>0</v>
      </c>
      <c r="E20" s="18" t="str">
        <f t="shared" si="0"/>
        <v/>
      </c>
      <c r="F20" s="19" t="str">
        <f t="shared" si="1"/>
        <v/>
      </c>
      <c r="G20" s="20">
        <f>INDEX(报关明细!$A$17:$V$101,ROW()-12,13)</f>
        <v>0</v>
      </c>
      <c r="H20" s="12" t="str">
        <f t="shared" si="2"/>
        <v/>
      </c>
      <c r="I20" s="20">
        <f>INDEX(报关明细!$A$17:$V$101,ROW()-12,14)</f>
        <v>0</v>
      </c>
      <c r="J20" s="6"/>
    </row>
    <row r="21" spans="2:10">
      <c r="B21" s="217">
        <f>INDEX(报关明细!$A$17:$V$101,ROW()-12,5)</f>
        <v>0</v>
      </c>
      <c r="C21" s="218"/>
      <c r="D21" s="12">
        <f>INDEX(报关明细!$A$17:$V$101,ROW()-12,9)</f>
        <v>0</v>
      </c>
      <c r="E21" s="18" t="str">
        <f t="shared" si="0"/>
        <v/>
      </c>
      <c r="F21" s="19" t="str">
        <f t="shared" si="1"/>
        <v/>
      </c>
      <c r="G21" s="20">
        <f>INDEX(报关明细!$A$17:$V$101,ROW()-12,13)</f>
        <v>0</v>
      </c>
      <c r="H21" s="12" t="str">
        <f t="shared" si="2"/>
        <v/>
      </c>
      <c r="I21" s="20">
        <f>INDEX(报关明细!$A$17:$V$101,ROW()-12,14)</f>
        <v>0</v>
      </c>
      <c r="J21" s="6"/>
    </row>
    <row r="22" spans="2:10">
      <c r="B22" s="217">
        <f>INDEX(报关明细!$A$17:$V$101,ROW()-12,5)</f>
        <v>0</v>
      </c>
      <c r="C22" s="218"/>
      <c r="D22" s="12">
        <f>INDEX(报关明细!$A$17:$V$101,ROW()-12,9)</f>
        <v>0</v>
      </c>
      <c r="E22" s="18" t="str">
        <f t="shared" si="0"/>
        <v/>
      </c>
      <c r="F22" s="19" t="str">
        <f t="shared" si="1"/>
        <v/>
      </c>
      <c r="G22" s="20">
        <f>INDEX(报关明细!$A$17:$V$101,ROW()-12,13)</f>
        <v>0</v>
      </c>
      <c r="H22" s="12" t="str">
        <f t="shared" si="2"/>
        <v/>
      </c>
      <c r="I22" s="20">
        <f>INDEX(报关明细!$A$17:$V$101,ROW()-12,14)</f>
        <v>0</v>
      </c>
      <c r="J22" s="6"/>
    </row>
    <row r="23" spans="2:10">
      <c r="B23" s="217">
        <f>INDEX(报关明细!$A$17:$V$101,ROW()-12,5)</f>
        <v>0</v>
      </c>
      <c r="C23" s="218"/>
      <c r="D23" s="12">
        <f>INDEX(报关明细!$A$17:$V$101,ROW()-12,9)</f>
        <v>0</v>
      </c>
      <c r="E23" s="18" t="str">
        <f t="shared" si="0"/>
        <v/>
      </c>
      <c r="F23" s="19" t="str">
        <f t="shared" si="1"/>
        <v/>
      </c>
      <c r="G23" s="20">
        <f>INDEX(报关明细!$A$17:$V$101,ROW()-12,13)</f>
        <v>0</v>
      </c>
      <c r="H23" s="12" t="str">
        <f t="shared" si="2"/>
        <v/>
      </c>
      <c r="I23" s="20">
        <f>INDEX(报关明细!$A$17:$V$101,ROW()-12,14)</f>
        <v>0</v>
      </c>
      <c r="J23" s="6"/>
    </row>
    <row r="24" spans="2:10">
      <c r="B24" s="217">
        <f>INDEX(报关明细!$A$17:$V$101,ROW()-12,5)</f>
        <v>0</v>
      </c>
      <c r="C24" s="218"/>
      <c r="D24" s="12">
        <f>INDEX(报关明细!$A$17:$V$101,ROW()-12,9)</f>
        <v>0</v>
      </c>
      <c r="E24" s="18" t="str">
        <f t="shared" si="0"/>
        <v/>
      </c>
      <c r="F24" s="19" t="str">
        <f t="shared" si="1"/>
        <v/>
      </c>
      <c r="G24" s="20">
        <f>INDEX(报关明细!$A$17:$V$101,ROW()-12,13)</f>
        <v>0</v>
      </c>
      <c r="H24" s="12" t="str">
        <f t="shared" si="2"/>
        <v/>
      </c>
      <c r="I24" s="20">
        <f>INDEX(报关明细!$A$17:$V$101,ROW()-12,14)</f>
        <v>0</v>
      </c>
      <c r="J24" s="6"/>
    </row>
    <row r="25" spans="2:10">
      <c r="B25" s="221">
        <f>INDEX(报关明细!$A$17:$V$101,ROW()-12,5)</f>
        <v>0</v>
      </c>
      <c r="C25" s="222"/>
      <c r="D25" s="13">
        <f>INDEX(报关明细!$A$17:$V$101,ROW()-12,9)</f>
        <v>0</v>
      </c>
      <c r="E25" s="21"/>
      <c r="F25" s="223" t="s">
        <v>135</v>
      </c>
      <c r="G25" s="224"/>
      <c r="H25" s="22" t="str">
        <f>报关明细!F5</f>
        <v>{currency}</v>
      </c>
      <c r="I25" s="23">
        <f>SUM(I13:I24)</f>
        <v>0</v>
      </c>
      <c r="J25" s="6"/>
    </row>
    <row r="26" spans="2:10">
      <c r="B26" s="6"/>
      <c r="C26" s="6"/>
      <c r="D26" s="6"/>
      <c r="E26" s="6"/>
      <c r="F26" s="6"/>
      <c r="G26" s="6"/>
      <c r="H26" s="6"/>
    </row>
    <row r="27" spans="2:10" ht="26.25" customHeight="1">
      <c r="B27" s="225" t="s">
        <v>221</v>
      </c>
      <c r="C27" s="225"/>
      <c r="D27" s="225"/>
      <c r="E27" s="225"/>
      <c r="F27" s="225"/>
      <c r="G27" s="225"/>
      <c r="H27" s="225"/>
      <c r="I27" s="225"/>
    </row>
    <row r="28" spans="2:10">
      <c r="B28" s="5" t="s">
        <v>222</v>
      </c>
      <c r="C28" s="5"/>
      <c r="D28" s="15" t="str">
        <f>LEFT(报关明细!H4,10)</f>
        <v>{shipDate}</v>
      </c>
      <c r="E28" s="6"/>
      <c r="F28" s="6"/>
      <c r="G28" s="6"/>
      <c r="H28" s="6"/>
    </row>
    <row r="29" spans="2:10">
      <c r="B29" s="226" t="str">
        <f>"3.FROM  "&amp;报关明细!D8&amp;"  TO  "&amp;报关明细!F8&amp;"  "&amp;报关明细!B8</f>
        <v>3.FROM  {departurePortName}  TO  {destinationPortName}  {transportType}</v>
      </c>
      <c r="C29" s="226"/>
      <c r="D29" s="226"/>
      <c r="E29" s="226"/>
      <c r="F29" s="226"/>
      <c r="G29" s="16"/>
      <c r="H29" s="16"/>
    </row>
    <row r="30" spans="2:10">
      <c r="B30" s="5" t="s">
        <v>223</v>
      </c>
      <c r="C30" s="5"/>
      <c r="D30" s="6"/>
      <c r="E30" s="6"/>
      <c r="F30" s="6"/>
      <c r="G30" s="6"/>
      <c r="H30" s="6"/>
    </row>
    <row r="31" spans="2:10">
      <c r="B31" s="5" t="s">
        <v>224</v>
      </c>
      <c r="C31" s="5"/>
      <c r="D31" s="6"/>
      <c r="E31" s="6"/>
      <c r="F31" s="6"/>
      <c r="G31" s="6"/>
      <c r="H31" s="6"/>
    </row>
    <row r="32" spans="2:10">
      <c r="B32" s="5" t="s">
        <v>225</v>
      </c>
      <c r="C32" s="5"/>
      <c r="D32" s="6"/>
      <c r="E32" s="6"/>
      <c r="F32" s="6"/>
      <c r="G32" s="6"/>
      <c r="H32" s="6"/>
    </row>
    <row r="33" spans="2:8">
      <c r="B33" s="5" t="s">
        <v>226</v>
      </c>
      <c r="C33" s="5"/>
      <c r="D33" s="6"/>
      <c r="E33" s="6"/>
      <c r="F33" s="6"/>
      <c r="G33" s="6"/>
      <c r="H33" s="6"/>
    </row>
    <row r="34" spans="2:8">
      <c r="B34" s="5" t="s">
        <v>227</v>
      </c>
      <c r="C34" s="5"/>
      <c r="D34" s="6"/>
    </row>
    <row r="35" spans="2:8">
      <c r="B35" s="5" t="s">
        <v>228</v>
      </c>
      <c r="C35" s="5"/>
      <c r="D35" s="6"/>
    </row>
    <row r="36" spans="2:8" ht="25.5">
      <c r="B36" s="14" t="s">
        <v>229</v>
      </c>
      <c r="C36" s="14"/>
      <c r="D36" s="6"/>
    </row>
    <row r="37" spans="2:8">
      <c r="B37" s="5"/>
      <c r="C37" s="5"/>
      <c r="D37" s="6"/>
    </row>
    <row r="38" spans="2:8">
      <c r="B38" s="5"/>
      <c r="C38" s="5"/>
      <c r="D38" s="6"/>
    </row>
    <row r="39" spans="2:8">
      <c r="B39" s="5" t="s">
        <v>230</v>
      </c>
      <c r="C39" s="5"/>
      <c r="D39" s="6"/>
    </row>
    <row r="40" spans="2:8">
      <c r="B40" s="5"/>
      <c r="C40" s="5"/>
      <c r="D40" s="6"/>
    </row>
    <row r="41" spans="2:8">
      <c r="B41" s="5"/>
      <c r="C41" s="5"/>
      <c r="D41" s="6"/>
    </row>
    <row r="42" spans="2:8">
      <c r="B42" s="5"/>
      <c r="C42" s="5"/>
      <c r="D42" s="6"/>
    </row>
    <row r="43" spans="2:8">
      <c r="B43" s="5" t="s">
        <v>231</v>
      </c>
      <c r="C43" s="5"/>
      <c r="E43" s="5" t="s">
        <v>232</v>
      </c>
    </row>
    <row r="44" spans="2:8">
      <c r="B44" s="5" t="s">
        <v>233</v>
      </c>
      <c r="C44" s="5"/>
      <c r="E44" s="5" t="s">
        <v>234</v>
      </c>
    </row>
    <row r="45" spans="2:8">
      <c r="B45" s="6"/>
      <c r="C45" s="6"/>
      <c r="D45" s="6"/>
    </row>
  </sheetData>
  <mergeCells count="29">
    <mergeCell ref="B25:C25"/>
    <mergeCell ref="F25:G25"/>
    <mergeCell ref="B27:I27"/>
    <mergeCell ref="B29:F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2:C12"/>
    <mergeCell ref="F12:G12"/>
    <mergeCell ref="H12:I12"/>
    <mergeCell ref="B13:C13"/>
    <mergeCell ref="B14:C14"/>
    <mergeCell ref="B9:I9"/>
    <mergeCell ref="B10:C10"/>
    <mergeCell ref="D11:E11"/>
    <mergeCell ref="F11:G11"/>
    <mergeCell ref="H11:I11"/>
    <mergeCell ref="B1:I1"/>
    <mergeCell ref="B2:I2"/>
    <mergeCell ref="B3:I3"/>
    <mergeCell ref="F5:I5"/>
    <mergeCell ref="C7:E7"/>
  </mergeCells>
  <phoneticPr fontId="31" type="noConversion"/>
  <pageMargins left="0.71" right="0.71" top="0.75" bottom="0.75" header="0.31" footer="0.31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0"/>
  <sheetViews>
    <sheetView workbookViewId="0">
      <selection activeCell="E31" sqref="E31"/>
    </sheetView>
  </sheetViews>
  <sheetFormatPr defaultColWidth="9.125" defaultRowHeight="14.25"/>
  <cols>
    <col min="1" max="1" width="22.875" customWidth="1"/>
    <col min="2" max="2" width="27.75" customWidth="1"/>
    <col min="3" max="3" width="24.875" customWidth="1"/>
    <col min="4" max="4" width="46.625"/>
    <col min="5" max="5" width="56"/>
    <col min="6" max="7" width="22.75" customWidth="1"/>
    <col min="9" max="9" width="15"/>
  </cols>
  <sheetData>
    <row r="2" spans="1:9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70</v>
      </c>
      <c r="G2" s="1" t="s">
        <v>240</v>
      </c>
      <c r="H2" t="s">
        <v>241</v>
      </c>
      <c r="I2" t="s">
        <v>242</v>
      </c>
    </row>
    <row r="3" spans="1:9" ht="96">
      <c r="A3" s="1" t="s">
        <v>243</v>
      </c>
      <c r="B3" s="1" t="s">
        <v>244</v>
      </c>
      <c r="C3" s="1" t="s">
        <v>245</v>
      </c>
      <c r="D3" s="1" t="s">
        <v>246</v>
      </c>
      <c r="E3" s="2" t="s">
        <v>247</v>
      </c>
      <c r="F3">
        <v>3302941306</v>
      </c>
      <c r="G3" t="s">
        <v>248</v>
      </c>
      <c r="H3" t="s">
        <v>204</v>
      </c>
      <c r="I3" t="s">
        <v>249</v>
      </c>
    </row>
    <row r="4" spans="1:9">
      <c r="A4" s="1"/>
      <c r="B4" s="1"/>
      <c r="C4" s="1"/>
      <c r="D4" s="1"/>
      <c r="E4" s="1"/>
      <c r="H4" t="s">
        <v>250</v>
      </c>
      <c r="I4" t="s">
        <v>251</v>
      </c>
    </row>
    <row r="5" spans="1:9">
      <c r="A5" s="1"/>
      <c r="B5" s="1"/>
      <c r="C5" s="1"/>
      <c r="D5" s="1"/>
      <c r="E5" s="1"/>
      <c r="F5" s="1"/>
      <c r="G5" s="1"/>
      <c r="H5" t="s">
        <v>252</v>
      </c>
      <c r="I5" t="s">
        <v>253</v>
      </c>
    </row>
    <row r="6" spans="1:9">
      <c r="A6" s="1"/>
      <c r="B6" s="1"/>
      <c r="C6" s="1"/>
      <c r="D6" s="1"/>
      <c r="E6" s="1"/>
      <c r="F6" s="1"/>
      <c r="G6" s="1"/>
    </row>
    <row r="7" spans="1:9">
      <c r="A7" s="1"/>
      <c r="B7" s="1"/>
      <c r="C7" s="1"/>
      <c r="D7" s="1"/>
      <c r="E7" s="1"/>
      <c r="F7" s="1"/>
      <c r="G7" s="1"/>
      <c r="H7" t="s">
        <v>241</v>
      </c>
      <c r="I7" t="s">
        <v>254</v>
      </c>
    </row>
    <row r="8" spans="1:9">
      <c r="A8" s="1"/>
      <c r="B8" s="1"/>
      <c r="C8" s="1"/>
      <c r="D8" s="1"/>
      <c r="H8" t="s">
        <v>204</v>
      </c>
      <c r="I8" t="s">
        <v>255</v>
      </c>
    </row>
    <row r="9" spans="1:9">
      <c r="H9" t="s">
        <v>250</v>
      </c>
      <c r="I9" s="3" t="s">
        <v>256</v>
      </c>
    </row>
    <row r="10" spans="1:9">
      <c r="H10" t="s">
        <v>252</v>
      </c>
      <c r="I10" t="s">
        <v>253</v>
      </c>
    </row>
    <row r="12" spans="1:9">
      <c r="H12" t="s">
        <v>241</v>
      </c>
      <c r="I12" t="s">
        <v>257</v>
      </c>
    </row>
    <row r="13" spans="1:9">
      <c r="H13" t="s">
        <v>204</v>
      </c>
      <c r="I13" t="s">
        <v>258</v>
      </c>
    </row>
    <row r="14" spans="1:9">
      <c r="H14" t="s">
        <v>250</v>
      </c>
      <c r="I14" s="3" t="s">
        <v>259</v>
      </c>
    </row>
    <row r="15" spans="1:9">
      <c r="H15" t="s">
        <v>252</v>
      </c>
      <c r="I15" t="s">
        <v>253</v>
      </c>
    </row>
    <row r="34" spans="1:2">
      <c r="A34" t="s">
        <v>260</v>
      </c>
      <c r="B34" t="s">
        <v>261</v>
      </c>
    </row>
    <row r="35" spans="1:2">
      <c r="A35" t="s">
        <v>262</v>
      </c>
      <c r="B35" t="s">
        <v>263</v>
      </c>
    </row>
    <row r="36" spans="1:2">
      <c r="A36" t="s">
        <v>264</v>
      </c>
      <c r="B36" t="s">
        <v>265</v>
      </c>
    </row>
    <row r="37" spans="1:2">
      <c r="A37" t="s">
        <v>266</v>
      </c>
      <c r="B37" t="s">
        <v>267</v>
      </c>
    </row>
    <row r="38" spans="1:2">
      <c r="A38" t="s">
        <v>268</v>
      </c>
      <c r="B38" t="s">
        <v>269</v>
      </c>
    </row>
    <row r="39" spans="1:2">
      <c r="A39" t="s">
        <v>270</v>
      </c>
      <c r="B39" t="s">
        <v>261</v>
      </c>
    </row>
    <row r="40" spans="1:2">
      <c r="A40" t="s">
        <v>271</v>
      </c>
      <c r="B40" t="s">
        <v>272</v>
      </c>
    </row>
  </sheetData>
  <phoneticPr fontId="3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报关明细</vt:lpstr>
      <vt:lpstr>报关发票</vt:lpstr>
      <vt:lpstr>报关箱单</vt:lpstr>
      <vt:lpstr>报关单</vt:lpstr>
      <vt:lpstr>报关合同</vt:lpstr>
      <vt:lpstr>资料</vt:lpstr>
    </vt:vector>
  </TitlesOfParts>
  <Company>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Zhang Colin</cp:lastModifiedBy>
  <cp:lastPrinted>2022-05-19T08:20:00Z</cp:lastPrinted>
  <dcterms:created xsi:type="dcterms:W3CDTF">2013-07-16T05:19:00Z</dcterms:created>
  <dcterms:modified xsi:type="dcterms:W3CDTF">2025-09-29T10:45:32Z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A825A3D1A3051937499352680086DFC0_43</vt:lpwstr>
  </property>
</Properties>
</file>