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 activeTab="1"/>
  </bookViews>
  <sheets>
    <sheet name="结汇单" sheetId="2" r:id="rId1"/>
    <sheet name="收汇箱单" sheetId="8" r:id="rId2"/>
    <sheet name="收汇发票" sheetId="10" r:id="rId3"/>
    <sheet name="资料" sheetId="3" r:id="rId4"/>
    <sheet name="银行资料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<sst xmlns="http://schemas.openxmlformats.org/spreadsheetml/2006/main" count="338" uniqueCount="304">
  <si>
    <t>结汇单</t>
  </si>
  <si>
    <t>基本信息</t>
  </si>
  <si>
    <t>发票号</t>
  </si>
  <si>
    <t>{invoiceCode}</t>
  </si>
  <si>
    <t>结汇单号</t>
  </si>
  <si>
    <t>{code}</t>
  </si>
  <si>
    <t>录入日期</t>
  </si>
  <si>
    <t>{inputDate}</t>
  </si>
  <si>
    <t>录入人</t>
  </si>
  <si>
    <t>{inputUserName}</t>
  </si>
  <si>
    <t>状态</t>
  </si>
  <si>
    <t>{status}</t>
  </si>
  <si>
    <t>审核日期</t>
  </si>
  <si>
    <t/>
  </si>
  <si>
    <t>审核人</t>
  </si>
  <si>
    <t>出运日期</t>
  </si>
  <si>
    <t>{shipDate}</t>
  </si>
  <si>
    <t>外销合同</t>
  </si>
  <si>
    <t>{saleContractCode}</t>
  </si>
  <si>
    <t>客户合同</t>
  </si>
  <si>
    <t>{custPo}</t>
  </si>
  <si>
    <t>客户编号</t>
  </si>
  <si>
    <t>{custCode}</t>
  </si>
  <si>
    <t>客户名称</t>
  </si>
  <si>
    <t>{custName}</t>
  </si>
  <si>
    <t>客户地址</t>
  </si>
  <si>
    <t>{custAddress}</t>
  </si>
  <si>
    <t>外销币种</t>
  </si>
  <si>
    <t>{currency}</t>
  </si>
  <si>
    <t>贸易国别</t>
  </si>
  <si>
    <t>{tradeCountryName}</t>
  </si>
  <si>
    <t>贸易方式</t>
  </si>
  <si>
    <t>{tradeType}</t>
  </si>
  <si>
    <t>价格条款</t>
  </si>
  <si>
    <t>{settlementTermType}</t>
  </si>
  <si>
    <t>结汇方式</t>
  </si>
  <si>
    <t>{settlementName}</t>
  </si>
  <si>
    <t>结汇方式名称</t>
  </si>
  <si>
    <t>船代公司</t>
  </si>
  <si>
    <t>{forwarderCompanyName}</t>
  </si>
  <si>
    <t>集装箱数量</t>
  </si>
  <si>
    <t>{containerQuantity}</t>
  </si>
  <si>
    <t>运输方式</t>
  </si>
  <si>
    <t>{transportType}</t>
  </si>
  <si>
    <t>出运口岸</t>
  </si>
  <si>
    <t>{departurePortName}</t>
  </si>
  <si>
    <t>目的口岸</t>
  </si>
  <si>
    <t>{destinationPortName}</t>
  </si>
  <si>
    <t>来源出运单号</t>
  </si>
  <si>
    <t>{shipmentCode}</t>
  </si>
  <si>
    <t>发票箱单</t>
  </si>
  <si>
    <t>{invoicePackingList}</t>
  </si>
  <si>
    <t>合计</t>
  </si>
  <si>
    <t>数量合计</t>
  </si>
  <si>
    <t>{totalQuantity}</t>
  </si>
  <si>
    <t>箱数合计</t>
  </si>
  <si>
    <t>{totalBoxes}</t>
  </si>
  <si>
    <t>毛重合计</t>
  </si>
  <si>
    <t>{totalGrossweight}</t>
  </si>
  <si>
    <t>净重合计</t>
  </si>
  <si>
    <t>{totalWeight}</t>
  </si>
  <si>
    <t>体积合计</t>
  </si>
  <si>
    <t>{totalVolume}</t>
  </si>
  <si>
    <t>金额合计</t>
  </si>
  <si>
    <t>{totalAmount}</t>
  </si>
  <si>
    <t>备注信息</t>
  </si>
  <si>
    <t>抬头人</t>
  </si>
  <si>
    <t>{companyTitle}</t>
  </si>
  <si>
    <t>备注</t>
  </si>
  <si>
    <t>{remark}</t>
  </si>
  <si>
    <t>收货人</t>
  </si>
  <si>
    <t>{receivePerson}</t>
  </si>
  <si>
    <t>通知人</t>
  </si>
  <si>
    <t>{notifyPerson}</t>
  </si>
  <si>
    <t>正面唛头</t>
  </si>
  <si>
    <t>{frontShippingMark}</t>
  </si>
  <si>
    <t>序号</t>
  </si>
  <si>
    <t>加减项</t>
  </si>
  <si>
    <t>项目</t>
  </si>
  <si>
    <t>金额</t>
  </si>
  <si>
    <t>{addSubItem.id}</t>
  </si>
  <si>
    <t>{addSubItem.calculationType}</t>
  </si>
  <si>
    <t>{addSubItem.feeName}</t>
  </si>
  <si>
    <t>{addSubItem.amountValue}</t>
  </si>
  <si>
    <t>订单号</t>
  </si>
  <si>
    <t>订单序号</t>
  </si>
  <si>
    <t>物料编号</t>
  </si>
  <si>
    <t>中文品名</t>
  </si>
  <si>
    <t>英文品名</t>
  </si>
  <si>
    <t>出货数量</t>
  </si>
  <si>
    <t>单位</t>
  </si>
  <si>
    <t>销售单价</t>
  </si>
  <si>
    <t>交货日期</t>
  </si>
  <si>
    <t>客户货号</t>
  </si>
  <si>
    <t>海关单位</t>
  </si>
  <si>
    <t>采购币种</t>
  </si>
  <si>
    <t>采购单价</t>
  </si>
  <si>
    <t>采购总价</t>
  </si>
  <si>
    <t>产品条码</t>
  </si>
  <si>
    <t>采购合同</t>
  </si>
  <si>
    <t>采购员编号</t>
  </si>
  <si>
    <t>采购员名称</t>
  </si>
  <si>
    <t>厂商编号</t>
  </si>
  <si>
    <t>厂商简称</t>
  </si>
  <si>
    <t>工厂货号</t>
  </si>
  <si>
    <t>包装方式</t>
  </si>
  <si>
    <t>特殊要求</t>
  </si>
  <si>
    <t>内盒装量</t>
  </si>
  <si>
    <t>外箱装量</t>
  </si>
  <si>
    <t>箱数</t>
  </si>
  <si>
    <t>外箱单位</t>
  </si>
  <si>
    <t>外箱长度</t>
  </si>
  <si>
    <t>外箱宽度</t>
  </si>
  <si>
    <t>外箱高度</t>
  </si>
  <si>
    <t>外箱体积</t>
  </si>
  <si>
    <t>总体积</t>
  </si>
  <si>
    <t>外箱毛重</t>
  </si>
  <si>
    <t>总毛重</t>
  </si>
  <si>
    <t>外箱净重</t>
  </si>
  <si>
    <t>总净重</t>
  </si>
  <si>
    <t>中文说明</t>
  </si>
  <si>
    <t>英文说明</t>
  </si>
  <si>
    <t>HS编码</t>
  </si>
  <si>
    <t>退税率%</t>
  </si>
  <si>
    <t>退税金额</t>
  </si>
  <si>
    <t>业务员编号</t>
  </si>
  <si>
    <t>业务员名称</t>
  </si>
  <si>
    <t>收款方式编号</t>
  </si>
  <si>
    <t>收款方式名称</t>
  </si>
  <si>
    <t>公司/仓库发货</t>
  </si>
  <si>
    <t>申报要素</t>
  </si>
  <si>
    <t>{childItem.sortNum}</t>
  </si>
  <si>
    <t>{childItem.code}</t>
  </si>
  <si>
    <t>{childItem.settlementFormId}</t>
  </si>
  <si>
    <t>{childItem.skuCode}</t>
  </si>
  <si>
    <t>{childItem.name}</t>
  </si>
  <si>
    <t>{childItem.nameEng}</t>
  </si>
  <si>
    <t>{childItem.shippingQuantity}</t>
  </si>
  <si>
    <t>{childItem.hsMeasureUnitName}</t>
  </si>
  <si>
    <t>{childItem.saleUnitPriceAmount}</t>
  </si>
  <si>
    <t>{childItem.saleAmountAmount}</t>
  </si>
  <si>
    <t>{childItem.deliveryDateFormat}</t>
  </si>
  <si>
    <t>{childItem.custPo}</t>
  </si>
  <si>
    <t>{childItem.cskuCode}</t>
  </si>
  <si>
    <t>{childItem.purchaseCurrency}</t>
  </si>
  <si>
    <t>{childItem.purchaseUnitPriceAmount}</t>
  </si>
  <si>
    <t>{childItem.purchaseTotalAmountAmount}</t>
  </si>
  <si>
    <t>{childItem.sku}</t>
  </si>
  <si>
    <t>{childItem.purchaseContractCode}</t>
  </si>
  <si>
    <t>{childItem.purchaseUserCode}</t>
  </si>
  <si>
    <t>{childItem.purchaseUserName}</t>
  </si>
  <si>
    <t>{childItem.venderCode}</t>
  </si>
  <si>
    <t>{childItem.venderName}</t>
  </si>
  <si>
    <t>{childItem.venderskuCode}</t>
  </si>
  <si>
    <t>{childItem.packageTypeName}</t>
  </si>
  <si>
    <t>{childItem.specific}</t>
  </si>
  <si>
    <t>{childItem.qtyPerInnerbox}</t>
  </si>
  <si>
    <t>{childItem.qtyPerOuterbox}</t>
  </si>
  <si>
    <t>{childItem.boxCount}</t>
  </si>
  <si>
    <t>{childItem.unitPerOuterbox}</t>
  </si>
  <si>
    <t>{childItem.outerboxLength}</t>
  </si>
  <si>
    <t>{childItem.outerboxWidth}</t>
  </si>
  <si>
    <t>{childItem.outerboxHeight}</t>
  </si>
  <si>
    <t>{childItem.outerboxVolume}</t>
  </si>
  <si>
    <t>{childItem.totalVolume}</t>
  </si>
  <si>
    <t>{childItem.outerboxGrossweightWeight}</t>
  </si>
  <si>
    <t>{childItem.totalGrossweightWeight}</t>
  </si>
  <si>
    <t>{childItem.outerboxNetweightWeight}</t>
  </si>
  <si>
    <t>{childItem.totalNetweightWeight}</t>
  </si>
  <si>
    <t>{childItem.description}</t>
  </si>
  <si>
    <t>{childItem.descriptionEng}</t>
  </si>
  <si>
    <t>{childItem.hsCode}</t>
  </si>
  <si>
    <t>{childItem.taxRefundRate}</t>
  </si>
  <si>
    <t>{childItem.taxRefundPriceAmountAmount}</t>
  </si>
  <si>
    <t>{childItem.custCode}</t>
  </si>
  <si>
    <t>{childItem.custName}</t>
  </si>
  <si>
    <t>{childItem.managerCode}</t>
  </si>
  <si>
    <t>{childItem.managerName}</t>
  </si>
  <si>
    <t>{childItem.settlementCode}</t>
  </si>
  <si>
    <t>{childItem.settlementName}</t>
  </si>
  <si>
    <t>{childItem.sbys}</t>
  </si>
  <si>
    <t>{childItem.remark}</t>
  </si>
  <si>
    <t>PACKING LIST</t>
  </si>
  <si>
    <t>客        户</t>
  </si>
  <si>
    <t>发票号码</t>
  </si>
  <si>
    <t>MESSRS</t>
  </si>
  <si>
    <t>INV.NO.</t>
  </si>
  <si>
    <t>地         址</t>
  </si>
  <si>
    <t>日    期</t>
  </si>
  <si>
    <t>ADDRESS</t>
  </si>
  <si>
    <t>DATE:</t>
  </si>
  <si>
    <t>合同号码</t>
  </si>
  <si>
    <r>
      <rPr>
        <sz val="10"/>
        <rFont val="宋体"/>
        <charset val="134"/>
      </rPr>
      <t>船</t>
    </r>
    <r>
      <rPr>
        <sz val="12"/>
        <rFont val="宋体"/>
        <charset val="134"/>
      </rPr>
      <t xml:space="preserve">    </t>
    </r>
    <r>
      <rPr>
        <sz val="10"/>
        <rFont val="宋体"/>
        <charset val="134"/>
      </rPr>
      <t>由</t>
    </r>
  </si>
  <si>
    <t>CONTRACT NO.</t>
  </si>
  <si>
    <t>VESSEL</t>
  </si>
  <si>
    <t>货 号</t>
  </si>
  <si>
    <t>货名</t>
  </si>
  <si>
    <t>数量</t>
  </si>
  <si>
    <t>装箱量  QTY/CTN</t>
  </si>
  <si>
    <t>件数</t>
  </si>
  <si>
    <t>毛重(KGS)</t>
  </si>
  <si>
    <t>净重(KGS)</t>
  </si>
  <si>
    <t>体积(CBM)</t>
  </si>
  <si>
    <t>PO NO</t>
  </si>
  <si>
    <t>ITEM NO</t>
  </si>
  <si>
    <t>DESCRIPTION</t>
  </si>
  <si>
    <t>QTY
 (PCS）</t>
  </si>
  <si>
    <t>PKG
（CTNS)</t>
  </si>
  <si>
    <t>GW/CTN</t>
  </si>
  <si>
    <t>T.GW</t>
  </si>
  <si>
    <t>NW/CTN</t>
  </si>
  <si>
    <t>T.NW</t>
  </si>
  <si>
    <t>L*W*H(CM)</t>
  </si>
  <si>
    <t>CBM/CTN</t>
  </si>
  <si>
    <t>T.CBM</t>
  </si>
  <si>
    <t>TOTAL:</t>
  </si>
  <si>
    <t>COMMERCIAL INVOICE</t>
  </si>
  <si>
    <t>付款方式</t>
  </si>
  <si>
    <t>PAYMENT</t>
  </si>
  <si>
    <r>
      <rPr>
        <sz val="10"/>
        <rFont val="宋体"/>
        <charset val="134"/>
      </rPr>
      <t>日</t>
    </r>
    <r>
      <rPr>
        <sz val="10"/>
        <rFont val="Times New Roman"/>
        <charset val="134"/>
      </rPr>
      <t xml:space="preserve">    </t>
    </r>
    <r>
      <rPr>
        <sz val="10"/>
        <rFont val="宋体"/>
        <charset val="134"/>
      </rPr>
      <t>期</t>
    </r>
  </si>
  <si>
    <r>
      <rPr>
        <sz val="10"/>
        <rFont val="宋体"/>
        <charset val="134"/>
      </rPr>
      <t>客</t>
    </r>
    <r>
      <rPr>
        <sz val="10"/>
        <rFont val="Times New Roman"/>
        <charset val="134"/>
      </rPr>
      <t xml:space="preserve">        </t>
    </r>
    <r>
      <rPr>
        <sz val="10"/>
        <rFont val="宋体"/>
        <charset val="134"/>
      </rPr>
      <t>户</t>
    </r>
  </si>
  <si>
    <r>
      <rPr>
        <sz val="10"/>
        <rFont val="宋体"/>
        <charset val="134"/>
      </rPr>
      <t>地</t>
    </r>
    <r>
      <rPr>
        <sz val="10"/>
        <rFont val="Times New Roman"/>
        <charset val="134"/>
      </rPr>
      <t xml:space="preserve">         </t>
    </r>
    <r>
      <rPr>
        <sz val="10"/>
        <rFont val="宋体"/>
        <charset val="134"/>
      </rPr>
      <t>址</t>
    </r>
  </si>
  <si>
    <r>
      <rPr>
        <sz val="10"/>
        <rFont val="宋体"/>
        <charset val="134"/>
      </rPr>
      <t>船</t>
    </r>
    <r>
      <rPr>
        <sz val="10"/>
        <rFont val="Times New Roman"/>
        <charset val="134"/>
      </rPr>
      <t xml:space="preserve">    </t>
    </r>
    <r>
      <rPr>
        <sz val="10"/>
        <rFont val="宋体"/>
        <charset val="134"/>
      </rPr>
      <t>由</t>
    </r>
  </si>
  <si>
    <t xml:space="preserve">VESSEL </t>
  </si>
  <si>
    <t>货    号</t>
  </si>
  <si>
    <t>货                   名</t>
  </si>
  <si>
    <r>
      <rPr>
        <sz val="10"/>
        <rFont val="宋体"/>
        <charset val="134"/>
      </rPr>
      <t>件</t>
    </r>
    <r>
      <rPr>
        <sz val="10"/>
        <rFont val="Times New Roman"/>
        <charset val="134"/>
      </rPr>
      <t xml:space="preserve">   </t>
    </r>
    <r>
      <rPr>
        <sz val="10"/>
        <rFont val="宋体"/>
        <charset val="134"/>
      </rPr>
      <t>数</t>
    </r>
  </si>
  <si>
    <r>
      <rPr>
        <sz val="10"/>
        <rFont val="宋体"/>
        <charset val="134"/>
      </rPr>
      <t>数</t>
    </r>
    <r>
      <rPr>
        <sz val="10"/>
        <rFont val="Times New Roman"/>
        <charset val="134"/>
      </rPr>
      <t xml:space="preserve">     </t>
    </r>
    <r>
      <rPr>
        <sz val="10"/>
        <rFont val="宋体"/>
        <charset val="134"/>
      </rPr>
      <t>量</t>
    </r>
  </si>
  <si>
    <r>
      <rPr>
        <sz val="10"/>
        <rFont val="宋体"/>
        <charset val="134"/>
      </rPr>
      <t>单</t>
    </r>
    <r>
      <rPr>
        <sz val="10"/>
        <rFont val="Times New Roman"/>
        <charset val="134"/>
      </rPr>
      <t xml:space="preserve">         </t>
    </r>
    <r>
      <rPr>
        <sz val="10"/>
        <rFont val="宋体"/>
        <charset val="134"/>
      </rPr>
      <t>价</t>
    </r>
  </si>
  <si>
    <r>
      <rPr>
        <sz val="10"/>
        <rFont val="宋体"/>
        <charset val="134"/>
      </rPr>
      <t>金</t>
    </r>
    <r>
      <rPr>
        <sz val="10"/>
        <rFont val="Times New Roman"/>
        <charset val="134"/>
      </rPr>
      <t xml:space="preserve">       </t>
    </r>
    <r>
      <rPr>
        <sz val="10"/>
        <rFont val="宋体"/>
        <charset val="134"/>
      </rPr>
      <t>额</t>
    </r>
  </si>
  <si>
    <t>PKG</t>
  </si>
  <si>
    <t>QTY</t>
  </si>
  <si>
    <t>UNIT PRICE</t>
  </si>
  <si>
    <t>AMOUNT</t>
  </si>
  <si>
    <t>CTNS</t>
  </si>
  <si>
    <t>PCS</t>
  </si>
  <si>
    <t>BANK DAETAILS：</t>
  </si>
  <si>
    <t>BANK NAME：</t>
  </si>
  <si>
    <t>ADD：</t>
  </si>
  <si>
    <t>SWIFT：</t>
  </si>
  <si>
    <t>TEL</t>
  </si>
  <si>
    <t>86-574-87397598</t>
  </si>
  <si>
    <t>FAX：</t>
  </si>
  <si>
    <t>86-574-87397588</t>
  </si>
  <si>
    <t>BEBEFICIATY：</t>
  </si>
  <si>
    <t>ACCT.NO.：</t>
  </si>
  <si>
    <t>52012029000021679</t>
  </si>
  <si>
    <t>ADDRESS：</t>
  </si>
  <si>
    <t>中文名</t>
  </si>
  <si>
    <t>英文名</t>
  </si>
  <si>
    <t>英文地址</t>
  </si>
  <si>
    <t>中文地址</t>
  </si>
  <si>
    <t>BANK DETAILS</t>
  </si>
  <si>
    <t>海关编码</t>
  </si>
  <si>
    <t>企业编码</t>
  </si>
  <si>
    <t>姓名</t>
  </si>
  <si>
    <t>叶群飞</t>
  </si>
  <si>
    <t>宁波泛太机电有限公司</t>
  </si>
  <si>
    <t xml:space="preserve">NINGBO VERTAK MECHANICAL &amp; ELECTRONIC CO.,LTD. </t>
  </si>
  <si>
    <t># 288 GUANGMING ROAD ZHUANGSHI ZHENHAI DISTRICT NINGBO, CHINA</t>
  </si>
  <si>
    <t>宁波镇海庄市街道光明路288号</t>
  </si>
  <si>
    <t>BANK NAME:BANK OF NINGBO
ADD:NO.700 NINGNAN SOUTH ROAD,NINGBO,P.R.CHINA,315100
SWIFT :BKNBCN2N
BEBEFICIATY：NINGBO VERTAK IMP AND EXP CO.,LTD
ACCT.NO.：52012029000021679
ADDRESS:
NO.11 GANGDONG ROAD, EAST AREA NINGBO FREE TRADE ZONE,NINGBO CHINA</t>
  </si>
  <si>
    <t>91330211756280575H</t>
  </si>
  <si>
    <t>电话</t>
  </si>
  <si>
    <t>0574-55833538</t>
  </si>
  <si>
    <t>宁波锦林进出口有限公司</t>
  </si>
  <si>
    <t>NINGBO VERTAK IMP. &amp; EXP. CO.,LTD.</t>
  </si>
  <si>
    <t>NO.11 GANGDONG RD,EAST AREA,NINGBO FREE TRADE ZONE,NINGBO 315800 CHINA</t>
  </si>
  <si>
    <t>3302962102</t>
  </si>
  <si>
    <t>913302017048022558</t>
  </si>
  <si>
    <t>邮箱</t>
  </si>
  <si>
    <t>yequnfei@vertak.com</t>
  </si>
  <si>
    <t>宁波新之戈电子商务有限公司</t>
  </si>
  <si>
    <t xml:space="preserve">NINGBO SINO-GARDEN ELECTRONIC COMMERCIAL CO., LTD </t>
  </si>
  <si>
    <t>3302462502</t>
  </si>
  <si>
    <t>91330201MA281Y5402</t>
  </si>
  <si>
    <t>传真</t>
  </si>
  <si>
    <t>0574-55877673</t>
  </si>
  <si>
    <t>NINGBO VERTAK ASSOCIATED TRADING AND INDUSTRIAL CO., LIMITED</t>
  </si>
  <si>
    <t>17/F SIU YING COMMERCIAL BUILDING 151-155 QUEENS’ ROAD CENTRA ,HK.</t>
  </si>
  <si>
    <t>宁波宣哲科技有限公司</t>
  </si>
  <si>
    <t>Ningbo Xuanzhe Technology Co., LTD</t>
  </si>
  <si>
    <t>浙江省宁波市海曙区碶闸街58号20-34-6</t>
  </si>
  <si>
    <t>姚磊艳</t>
  </si>
  <si>
    <t>宁波知鱼电商科技有限公司</t>
  </si>
  <si>
    <t>Ningbo Zhiyu E-Commerce Technology Co.,ltd</t>
  </si>
  <si>
    <t>浙江省宁波市江北区长兴路689弄21号10幢112室托管3965</t>
  </si>
  <si>
    <t>0574-55833539</t>
  </si>
  <si>
    <t>荃福国际照明科技有限公司</t>
  </si>
  <si>
    <t>Ningbo Thrive Lighting CO.,LTD</t>
  </si>
  <si>
    <t>TIANYANG CROSSING THE 329 NATIONAL HIGHWAY,CIXI,NINGBO,ZHEJIANG PROVINCE</t>
  </si>
  <si>
    <t>laura.yao@vertak.com</t>
  </si>
  <si>
    <t>林清</t>
  </si>
  <si>
    <t>0574-55833537</t>
  </si>
  <si>
    <t>linqing@vertak.com</t>
  </si>
  <si>
    <t>银行名称</t>
  </si>
  <si>
    <t>银行账号</t>
  </si>
  <si>
    <t>银行英文名称</t>
  </si>
  <si>
    <t>银行地址</t>
  </si>
  <si>
    <t>SWIFT</t>
  </si>
  <si>
    <t>宁波银行</t>
  </si>
  <si>
    <t>BANK OF NINGBO</t>
  </si>
  <si>
    <t>NO.700 NINGNAN SOUTH ROAD,NINGBO,P.R.CHINA,315100</t>
  </si>
  <si>
    <t>BKNBCN2N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</si>
</sst>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  <numFmt numFmtId="177" formatCode="[$USD]\ #,##0.00;[$USD]\ \-#,##0.00"/>
  </numFmts>
  <fonts count="41">
    <font>
      <sz val="12"/>
      <name val="宋体"/>
      <charset val="134"/>
    </font>
    <font>
      <sz val="12"/>
      <color indexed="63"/>
      <name val="仿宋_GB2312"/>
      <charset val="134"/>
    </font>
    <font>
      <sz val="10"/>
      <name val="Arial"/>
      <charset val="134"/>
    </font>
    <font>
      <sz val="10"/>
      <name val="宋体"/>
      <charset val="134"/>
    </font>
    <font>
      <u/>
      <sz val="12"/>
      <color indexed="12"/>
      <name val="宋体"/>
      <charset val="134"/>
    </font>
    <font>
      <b/>
      <sz val="18"/>
      <name val="宋体"/>
      <charset val="134"/>
    </font>
    <font>
      <b/>
      <sz val="16"/>
      <name val="宋体"/>
      <charset val="134"/>
    </font>
    <font>
      <sz val="12"/>
      <name val="Times New Roman"/>
      <charset val="134"/>
    </font>
    <font>
      <b/>
      <sz val="14"/>
      <name val="宋体"/>
      <charset val="134"/>
    </font>
    <font>
      <b/>
      <sz val="16"/>
      <name val="Times New Roman"/>
      <charset val="134"/>
    </font>
    <font>
      <b/>
      <sz val="14"/>
      <name val="Times New Roman"/>
      <charset val="134"/>
    </font>
    <font>
      <b/>
      <sz val="9"/>
      <name val="Times New Roman"/>
      <charset val="134"/>
    </font>
    <font>
      <sz val="11"/>
      <color indexed="8"/>
      <name val="宋体"/>
      <charset val="134"/>
    </font>
    <font>
      <sz val="8"/>
      <name val="Times New Roman"/>
      <charset val="134"/>
    </font>
    <font>
      <sz val="10"/>
      <name val="Times New Roman"/>
      <charset val="134"/>
    </font>
    <font>
      <sz val="10"/>
      <color indexed="8"/>
      <name val="宋体"/>
      <charset val="134"/>
    </font>
    <font>
      <b/>
      <sz val="18"/>
      <color indexed="8"/>
      <name val="宋体"/>
      <charset val="134"/>
    </font>
    <font>
      <b/>
      <sz val="16"/>
      <color indexed="8"/>
      <name val="宋体"/>
      <charset val="134"/>
    </font>
    <font>
      <sz val="12"/>
      <color indexed="8"/>
      <name val="宋体"/>
      <charset val="134"/>
    </font>
    <font>
      <sz val="8"/>
      <color indexed="8"/>
      <name val="宋体"/>
      <charset val="134"/>
    </font>
    <font>
      <sz val="15"/>
      <name val="宋体"/>
      <charset val="134"/>
    </font>
    <font>
      <sz val="12.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gray0625">
        <fgColor indexed="17"/>
        <bgColor indexed="4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22" fillId="7" borderId="2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23" applyNumberFormat="0" applyAlignment="0" applyProtection="0">
      <alignment vertical="center"/>
    </xf>
    <xf numFmtId="0" fontId="31" fillId="9" borderId="24" applyNumberFormat="0" applyAlignment="0" applyProtection="0">
      <alignment vertical="center"/>
    </xf>
    <xf numFmtId="0" fontId="32" fillId="9" borderId="23" applyNumberFormat="0" applyAlignment="0" applyProtection="0">
      <alignment vertical="center"/>
    </xf>
    <xf numFmtId="0" fontId="33" fillId="10" borderId="25" applyNumberFormat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35" fillId="0" borderId="27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" fillId="0" borderId="0"/>
    <xf numFmtId="0" fontId="0" fillId="0" borderId="0">
      <alignment vertical="center"/>
    </xf>
  </cellStyleXfs>
  <cellXfs count="93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>
      <alignment vertical="center"/>
    </xf>
    <xf numFmtId="0" fontId="2" fillId="0" borderId="0" xfId="0" applyFont="1" applyAlignment="1">
      <alignment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4" fillId="0" borderId="0" xfId="6" applyAlignment="1" applyProtection="1">
      <alignment vertical="center"/>
    </xf>
    <xf numFmtId="0" fontId="0" fillId="0" borderId="0" xfId="0" applyAlignme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/>
    <xf numFmtId="0" fontId="0" fillId="0" borderId="0" xfId="0" applyAlignment="1">
      <alignment horizontal="left"/>
    </xf>
    <xf numFmtId="0" fontId="11" fillId="0" borderId="0" xfId="0" applyFont="1" applyAlignment="1"/>
    <xf numFmtId="0" fontId="0" fillId="0" borderId="2" xfId="0" applyBorder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3" fillId="0" borderId="8" xfId="0" applyFont="1" applyBorder="1" applyAlignment="1">
      <alignment horizontal="left" wrapText="1"/>
    </xf>
    <xf numFmtId="0" fontId="3" fillId="0" borderId="8" xfId="0" applyFont="1" applyBorder="1" applyAlignment="1">
      <alignment horizontal="right"/>
    </xf>
    <xf numFmtId="0" fontId="0" fillId="0" borderId="10" xfId="0" applyBorder="1" applyAlignment="1"/>
    <xf numFmtId="0" fontId="0" fillId="0" borderId="11" xfId="0" applyBorder="1" applyAlignment="1"/>
    <xf numFmtId="0" fontId="0" fillId="0" borderId="11" xfId="0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49" fontId="12" fillId="0" borderId="0" xfId="0" applyNumberFormat="1" applyFont="1">
      <alignment vertical="center"/>
    </xf>
    <xf numFmtId="0" fontId="12" fillId="0" borderId="0" xfId="0" applyFont="1">
      <alignment vertical="center"/>
    </xf>
    <xf numFmtId="14" fontId="0" fillId="3" borderId="0" xfId="0" applyNumberFormat="1" applyFill="1" applyAlignment="1">
      <alignment horizontal="left"/>
    </xf>
    <xf numFmtId="14" fontId="0" fillId="3" borderId="2" xfId="0" applyNumberFormat="1" applyFill="1" applyBorder="1" applyAlignment="1">
      <alignment horizontal="left"/>
    </xf>
    <xf numFmtId="0" fontId="11" fillId="0" borderId="12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 vertical="center"/>
    </xf>
    <xf numFmtId="0" fontId="3" fillId="0" borderId="6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76" fontId="3" fillId="0" borderId="0" xfId="0" applyNumberFormat="1" applyFont="1" applyAlignment="1">
      <alignment horizontal="left"/>
    </xf>
    <xf numFmtId="177" fontId="3" fillId="0" borderId="0" xfId="0" applyNumberFormat="1" applyFont="1" applyAlignment="1"/>
    <xf numFmtId="4" fontId="3" fillId="0" borderId="0" xfId="0" applyNumberFormat="1" applyFont="1" applyAlignment="1">
      <alignment horizontal="left"/>
    </xf>
    <xf numFmtId="0" fontId="15" fillId="3" borderId="0" xfId="0" applyFont="1" applyFill="1" applyAlignment="1">
      <alignment horizontal="left" vertical="top" wrapText="1"/>
    </xf>
    <xf numFmtId="0" fontId="16" fillId="3" borderId="0" xfId="0" applyFont="1" applyFill="1" applyAlignment="1">
      <alignment horizontal="center" vertical="top" wrapText="1"/>
    </xf>
    <xf numFmtId="0" fontId="17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wrapText="1"/>
    </xf>
    <xf numFmtId="0" fontId="15" fillId="3" borderId="13" xfId="0" applyFont="1" applyFill="1" applyBorder="1" applyAlignment="1">
      <alignment horizontal="left" wrapText="1"/>
    </xf>
    <xf numFmtId="0" fontId="19" fillId="3" borderId="0" xfId="0" applyFont="1" applyFill="1" applyAlignment="1">
      <alignment horizontal="center" vertical="center" wrapText="1"/>
    </xf>
    <xf numFmtId="0" fontId="15" fillId="3" borderId="4" xfId="0" applyFont="1" applyFill="1" applyBorder="1" applyAlignment="1">
      <alignment horizontal="center" wrapText="1"/>
    </xf>
    <xf numFmtId="0" fontId="15" fillId="3" borderId="7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center" vertical="top" wrapText="1"/>
    </xf>
    <xf numFmtId="0" fontId="15" fillId="3" borderId="10" xfId="0" applyFont="1" applyFill="1" applyBorder="1" applyAlignment="1">
      <alignment horizontal="center" vertical="top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right" vertical="center" wrapText="1"/>
    </xf>
    <xf numFmtId="0" fontId="0" fillId="0" borderId="0" xfId="0" applyAlignment="1">
      <alignment horizontal="left" vertical="top" wrapText="1"/>
    </xf>
    <xf numFmtId="0" fontId="19" fillId="3" borderId="0" xfId="0" applyFont="1" applyFill="1" applyAlignment="1">
      <alignment wrapText="1"/>
    </xf>
    <xf numFmtId="0" fontId="15" fillId="3" borderId="11" xfId="0" applyFont="1" applyFill="1" applyBorder="1" applyAlignment="1">
      <alignment horizont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top" wrapText="1"/>
    </xf>
    <xf numFmtId="0" fontId="12" fillId="3" borderId="14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left" wrapText="1"/>
    </xf>
    <xf numFmtId="0" fontId="15" fillId="3" borderId="2" xfId="0" applyFont="1" applyFill="1" applyBorder="1" applyAlignment="1">
      <alignment horizontal="left" wrapText="1"/>
    </xf>
    <xf numFmtId="0" fontId="3" fillId="3" borderId="0" xfId="0" applyFont="1" applyFill="1" applyAlignment="1">
      <alignment horizontal="right" wrapText="1"/>
    </xf>
    <xf numFmtId="0" fontId="0" fillId="0" borderId="13" xfId="0" applyBorder="1" applyAlignment="1">
      <alignment horizontal="left"/>
    </xf>
    <xf numFmtId="0" fontId="15" fillId="3" borderId="17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20" fillId="4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3" fillId="6" borderId="18" xfId="0" applyFont="1" applyFill="1" applyBorder="1" applyAlignment="1">
      <alignment horizontal="left" vertical="center"/>
    </xf>
    <xf numFmtId="0" fontId="3" fillId="4" borderId="19" xfId="0" applyFont="1" applyFill="1" applyBorder="1" applyAlignment="1">
      <alignment horizontal="center" vertical="center"/>
    </xf>
    <xf numFmtId="0" fontId="0" fillId="0" borderId="0" xfId="0" quotePrefix="1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" xfId="49"/>
    <cellStyle name="常规 2 2 2 2 2 2" xfId="50"/>
    <cellStyle name="常规 2 3 2 2" xfId="51"/>
    <cellStyle name="常规 4" xfId="52"/>
    <cellStyle name="常规 5" xfId="5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9999CC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  <color rgb="009999CC"/>
      <color rgb="00333333"/>
      <color rgb="00CCFFCC"/>
      <color rgb="00C0C0C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19</xdr:row>
      <xdr:rowOff>76200</xdr:rowOff>
    </xdr:from>
    <xdr:to>
      <xdr:col>3</xdr:col>
      <xdr:colOff>2372995</xdr:colOff>
      <xdr:row>26</xdr:row>
      <xdr:rowOff>172085</xdr:rowOff>
    </xdr:to>
    <xdr:pic>
      <xdr:nvPicPr>
        <xdr:cNvPr id="26673" name="图片 3" descr="bgd_ftj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63210" y="5648960"/>
          <a:ext cx="2372995" cy="166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1439545</xdr:colOff>
      <xdr:row>19</xdr:row>
      <xdr:rowOff>133350</xdr:rowOff>
    </xdr:from>
    <xdr:to>
      <xdr:col>2</xdr:col>
      <xdr:colOff>1619885</xdr:colOff>
      <xdr:row>25</xdr:row>
      <xdr:rowOff>76200</xdr:rowOff>
    </xdr:to>
    <xdr:pic>
      <xdr:nvPicPr>
        <xdr:cNvPr id="26674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63240" y="5706110"/>
          <a:ext cx="2153920" cy="12839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linqing@vertak.com" TargetMode="External"/><Relationship Id="rId2" Type="http://schemas.openxmlformats.org/officeDocument/2006/relationships/hyperlink" Target="mailto:laura.yao@vertak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4"/>
  <sheetViews>
    <sheetView workbookViewId="0">
      <pane ySplit="1" topLeftCell="A2" activePane="bottomLeft" state="frozen"/>
      <selection/>
      <selection pane="bottomLeft" activeCell="E9" sqref="E9"/>
    </sheetView>
  </sheetViews>
  <sheetFormatPr defaultColWidth="9" defaultRowHeight="17.6"/>
  <cols>
    <col min="1" max="1" width="15.5803571428571" style="11" customWidth="1"/>
    <col min="2" max="2" width="31.25" style="11" customWidth="1"/>
    <col min="3" max="3" width="15.5803571428571" style="11" customWidth="1"/>
    <col min="4" max="4" width="31.25" style="11" customWidth="1"/>
    <col min="5" max="5" width="15.5803571428571" style="11" customWidth="1"/>
    <col min="6" max="6" width="31.25" style="11" customWidth="1"/>
    <col min="7" max="7" width="15.5803571428571" style="11" customWidth="1"/>
    <col min="8" max="8" width="31.25" style="11" customWidth="1"/>
    <col min="9" max="16384" width="9" style="11"/>
  </cols>
  <sheetData>
    <row r="1" ht="20" customHeight="1" spans="1:1">
      <c r="A1" s="89" t="s">
        <v>0</v>
      </c>
    </row>
    <row r="2" ht="17.5" customHeight="1" spans="1:1">
      <c r="A2" s="90" t="s">
        <v>1</v>
      </c>
    </row>
    <row r="3" spans="1:8">
      <c r="A3" s="91" t="s">
        <v>2</v>
      </c>
      <c r="B3" s="11" t="s">
        <v>3</v>
      </c>
      <c r="C3" s="91" t="s">
        <v>4</v>
      </c>
      <c r="D3" s="11" t="s">
        <v>5</v>
      </c>
      <c r="E3" s="91" t="s">
        <v>6</v>
      </c>
      <c r="F3" s="11" t="s">
        <v>7</v>
      </c>
      <c r="G3" s="91" t="s">
        <v>8</v>
      </c>
      <c r="H3" s="11" t="s">
        <v>9</v>
      </c>
    </row>
    <row r="4" spans="1:8">
      <c r="A4" s="91" t="s">
        <v>10</v>
      </c>
      <c r="B4" s="11" t="s">
        <v>11</v>
      </c>
      <c r="C4" s="91" t="s">
        <v>12</v>
      </c>
      <c r="D4" s="11" t="s">
        <v>13</v>
      </c>
      <c r="E4" s="91" t="s">
        <v>14</v>
      </c>
      <c r="F4" s="11" t="s">
        <v>13</v>
      </c>
      <c r="G4" s="91" t="s">
        <v>15</v>
      </c>
      <c r="H4" s="11" t="s">
        <v>16</v>
      </c>
    </row>
    <row r="5" spans="1:8">
      <c r="A5" s="91" t="s">
        <v>17</v>
      </c>
      <c r="B5" s="11" t="s">
        <v>18</v>
      </c>
      <c r="C5" s="91" t="s">
        <v>19</v>
      </c>
      <c r="D5" s="11" t="s">
        <v>20</v>
      </c>
      <c r="E5" s="91" t="s">
        <v>21</v>
      </c>
      <c r="F5" s="11" t="s">
        <v>22</v>
      </c>
      <c r="G5" s="91" t="s">
        <v>23</v>
      </c>
      <c r="H5" s="11" t="s">
        <v>24</v>
      </c>
    </row>
    <row r="6" spans="1:8">
      <c r="A6" s="91" t="s">
        <v>25</v>
      </c>
      <c r="B6" s="11" t="s">
        <v>26</v>
      </c>
      <c r="C6" s="91" t="s">
        <v>27</v>
      </c>
      <c r="D6" s="11" t="s">
        <v>28</v>
      </c>
      <c r="E6" s="91" t="s">
        <v>29</v>
      </c>
      <c r="F6" s="11" t="s">
        <v>30</v>
      </c>
      <c r="G6" s="91" t="s">
        <v>31</v>
      </c>
      <c r="H6" s="11" t="s">
        <v>32</v>
      </c>
    </row>
    <row r="7" spans="1:8">
      <c r="A7" s="91" t="s">
        <v>33</v>
      </c>
      <c r="B7" s="11" t="s">
        <v>34</v>
      </c>
      <c r="C7" s="91" t="s">
        <v>35</v>
      </c>
      <c r="D7" s="11" t="s">
        <v>36</v>
      </c>
      <c r="E7" s="91" t="s">
        <v>37</v>
      </c>
      <c r="G7" s="91" t="s">
        <v>38</v>
      </c>
      <c r="H7" s="11" t="s">
        <v>39</v>
      </c>
    </row>
    <row r="8" spans="1:8">
      <c r="A8" s="91" t="s">
        <v>40</v>
      </c>
      <c r="B8" s="11" t="s">
        <v>41</v>
      </c>
      <c r="C8" s="91" t="s">
        <v>42</v>
      </c>
      <c r="D8" s="11" t="s">
        <v>43</v>
      </c>
      <c r="E8" s="91" t="s">
        <v>44</v>
      </c>
      <c r="F8" s="11" t="s">
        <v>45</v>
      </c>
      <c r="G8" s="91" t="s">
        <v>46</v>
      </c>
      <c r="H8" s="11" t="s">
        <v>47</v>
      </c>
    </row>
    <row r="9" spans="1:4">
      <c r="A9" s="91" t="s">
        <v>48</v>
      </c>
      <c r="B9" s="11" t="s">
        <v>49</v>
      </c>
      <c r="C9" s="91" t="s">
        <v>50</v>
      </c>
      <c r="D9" s="11" t="s">
        <v>51</v>
      </c>
    </row>
    <row r="10" ht="17.5" customHeight="1" spans="1:1">
      <c r="A10" s="90" t="s">
        <v>52</v>
      </c>
    </row>
    <row r="11" spans="1:8">
      <c r="A11" s="91" t="s">
        <v>53</v>
      </c>
      <c r="B11" s="11" t="s">
        <v>54</v>
      </c>
      <c r="C11" s="91" t="s">
        <v>55</v>
      </c>
      <c r="D11" s="11" t="s">
        <v>56</v>
      </c>
      <c r="E11" s="91" t="s">
        <v>57</v>
      </c>
      <c r="F11" s="11" t="s">
        <v>58</v>
      </c>
      <c r="G11" s="91" t="s">
        <v>59</v>
      </c>
      <c r="H11" s="11" t="s">
        <v>60</v>
      </c>
    </row>
    <row r="12" spans="1:4">
      <c r="A12" s="91" t="s">
        <v>61</v>
      </c>
      <c r="B12" s="11" t="s">
        <v>62</v>
      </c>
      <c r="C12" s="91" t="s">
        <v>63</v>
      </c>
      <c r="D12" s="11" t="s">
        <v>64</v>
      </c>
    </row>
    <row r="13" ht="17.5" customHeight="1" spans="1:1">
      <c r="A13" s="90" t="s">
        <v>65</v>
      </c>
    </row>
    <row r="14" spans="1:8">
      <c r="A14" s="91" t="s">
        <v>66</v>
      </c>
      <c r="B14" s="11" t="s">
        <v>67</v>
      </c>
      <c r="C14" s="91" t="s">
        <v>68</v>
      </c>
      <c r="D14" s="11" t="s">
        <v>69</v>
      </c>
      <c r="E14" s="91" t="s">
        <v>70</v>
      </c>
      <c r="F14" s="11" t="s">
        <v>71</v>
      </c>
      <c r="G14" s="91" t="s">
        <v>72</v>
      </c>
      <c r="H14" s="11" t="s">
        <v>73</v>
      </c>
    </row>
    <row r="15" spans="1:2">
      <c r="A15" s="91" t="s">
        <v>74</v>
      </c>
      <c r="B15" s="11" t="s">
        <v>75</v>
      </c>
    </row>
    <row r="17" ht="15" customHeight="1" spans="1:4">
      <c r="A17" s="92" t="s">
        <v>76</v>
      </c>
      <c r="B17" s="92" t="s">
        <v>77</v>
      </c>
      <c r="C17" s="92" t="s">
        <v>78</v>
      </c>
      <c r="D17" s="92" t="s">
        <v>79</v>
      </c>
    </row>
    <row r="18" spans="1:4">
      <c r="A18" s="11" t="s">
        <v>80</v>
      </c>
      <c r="B18" s="11" t="s">
        <v>81</v>
      </c>
      <c r="C18" s="11" t="s">
        <v>82</v>
      </c>
      <c r="D18" s="11" t="s">
        <v>83</v>
      </c>
    </row>
    <row r="23" ht="15" customHeight="1" spans="1:53">
      <c r="A23" s="92" t="s">
        <v>76</v>
      </c>
      <c r="B23" s="92" t="s">
        <v>84</v>
      </c>
      <c r="C23" s="92" t="s">
        <v>85</v>
      </c>
      <c r="D23" s="92" t="s">
        <v>86</v>
      </c>
      <c r="E23" s="92" t="s">
        <v>87</v>
      </c>
      <c r="F23" s="92" t="s">
        <v>88</v>
      </c>
      <c r="G23" s="92" t="s">
        <v>89</v>
      </c>
      <c r="H23" s="92" t="s">
        <v>90</v>
      </c>
      <c r="I23" s="92" t="s">
        <v>91</v>
      </c>
      <c r="J23" s="92" t="s">
        <v>79</v>
      </c>
      <c r="K23" s="92" t="s">
        <v>92</v>
      </c>
      <c r="L23" s="92" t="s">
        <v>19</v>
      </c>
      <c r="M23" s="92" t="s">
        <v>93</v>
      </c>
      <c r="N23" s="92" t="s">
        <v>94</v>
      </c>
      <c r="O23" s="92" t="s">
        <v>95</v>
      </c>
      <c r="P23" s="92" t="s">
        <v>96</v>
      </c>
      <c r="Q23" s="92" t="s">
        <v>97</v>
      </c>
      <c r="R23" s="92" t="s">
        <v>98</v>
      </c>
      <c r="S23" s="92" t="s">
        <v>99</v>
      </c>
      <c r="T23" s="92" t="s">
        <v>100</v>
      </c>
      <c r="U23" s="92" t="s">
        <v>101</v>
      </c>
      <c r="V23" s="92" t="s">
        <v>102</v>
      </c>
      <c r="W23" s="92" t="s">
        <v>103</v>
      </c>
      <c r="X23" s="92" t="s">
        <v>104</v>
      </c>
      <c r="Y23" s="92" t="s">
        <v>105</v>
      </c>
      <c r="Z23" s="92" t="s">
        <v>106</v>
      </c>
      <c r="AA23" s="92" t="s">
        <v>107</v>
      </c>
      <c r="AB23" s="92" t="s">
        <v>108</v>
      </c>
      <c r="AC23" s="92" t="s">
        <v>109</v>
      </c>
      <c r="AD23" s="92" t="s">
        <v>110</v>
      </c>
      <c r="AE23" s="92" t="s">
        <v>111</v>
      </c>
      <c r="AF23" s="92" t="s">
        <v>112</v>
      </c>
      <c r="AG23" s="92" t="s">
        <v>113</v>
      </c>
      <c r="AH23" s="92" t="s">
        <v>114</v>
      </c>
      <c r="AI23" s="92" t="s">
        <v>115</v>
      </c>
      <c r="AJ23" s="92" t="s">
        <v>116</v>
      </c>
      <c r="AK23" s="92" t="s">
        <v>117</v>
      </c>
      <c r="AL23" s="92" t="s">
        <v>118</v>
      </c>
      <c r="AM23" s="92" t="s">
        <v>119</v>
      </c>
      <c r="AN23" s="92" t="s">
        <v>120</v>
      </c>
      <c r="AO23" s="92" t="s">
        <v>121</v>
      </c>
      <c r="AP23" s="92" t="s">
        <v>122</v>
      </c>
      <c r="AQ23" s="92" t="s">
        <v>123</v>
      </c>
      <c r="AR23" s="92" t="s">
        <v>124</v>
      </c>
      <c r="AS23" s="92" t="s">
        <v>21</v>
      </c>
      <c r="AT23" s="92" t="s">
        <v>23</v>
      </c>
      <c r="AU23" s="92" t="s">
        <v>125</v>
      </c>
      <c r="AV23" s="92" t="s">
        <v>126</v>
      </c>
      <c r="AW23" s="92" t="s">
        <v>127</v>
      </c>
      <c r="AX23" s="92" t="s">
        <v>128</v>
      </c>
      <c r="AY23" s="92" t="s">
        <v>129</v>
      </c>
      <c r="AZ23" s="92" t="s">
        <v>130</v>
      </c>
      <c r="BA23" s="92" t="s">
        <v>68</v>
      </c>
    </row>
    <row r="24" spans="1:53">
      <c r="A24" s="11" t="s">
        <v>131</v>
      </c>
      <c r="B24" s="11" t="s">
        <v>132</v>
      </c>
      <c r="C24" s="11" t="s">
        <v>133</v>
      </c>
      <c r="D24" s="11" t="s">
        <v>134</v>
      </c>
      <c r="E24" s="11" t="s">
        <v>135</v>
      </c>
      <c r="F24" s="11" t="s">
        <v>136</v>
      </c>
      <c r="G24" s="11" t="s">
        <v>137</v>
      </c>
      <c r="H24" s="11" t="s">
        <v>138</v>
      </c>
      <c r="I24" s="11" t="s">
        <v>139</v>
      </c>
      <c r="J24" s="11" t="s">
        <v>140</v>
      </c>
      <c r="K24" s="11" t="s">
        <v>141</v>
      </c>
      <c r="L24" s="11" t="s">
        <v>142</v>
      </c>
      <c r="M24" s="11" t="s">
        <v>143</v>
      </c>
      <c r="N24" s="11" t="s">
        <v>138</v>
      </c>
      <c r="O24" s="11" t="s">
        <v>144</v>
      </c>
      <c r="P24" s="11" t="s">
        <v>145</v>
      </c>
      <c r="Q24" s="11" t="s">
        <v>146</v>
      </c>
      <c r="R24" s="11" t="s">
        <v>147</v>
      </c>
      <c r="S24" s="11" t="s">
        <v>148</v>
      </c>
      <c r="T24" s="11" t="s">
        <v>149</v>
      </c>
      <c r="U24" s="11" t="s">
        <v>150</v>
      </c>
      <c r="V24" s="11" t="s">
        <v>151</v>
      </c>
      <c r="W24" s="11" t="s">
        <v>152</v>
      </c>
      <c r="X24" s="11" t="s">
        <v>153</v>
      </c>
      <c r="Y24" s="11" t="s">
        <v>154</v>
      </c>
      <c r="Z24" s="11" t="s">
        <v>155</v>
      </c>
      <c r="AA24" s="11" t="s">
        <v>156</v>
      </c>
      <c r="AB24" s="11" t="s">
        <v>157</v>
      </c>
      <c r="AC24" s="11" t="s">
        <v>158</v>
      </c>
      <c r="AD24" s="11" t="s">
        <v>159</v>
      </c>
      <c r="AE24" s="11" t="s">
        <v>160</v>
      </c>
      <c r="AF24" s="11" t="s">
        <v>161</v>
      </c>
      <c r="AG24" s="11" t="s">
        <v>162</v>
      </c>
      <c r="AH24" s="11" t="s">
        <v>163</v>
      </c>
      <c r="AI24" s="11" t="s">
        <v>164</v>
      </c>
      <c r="AJ24" s="11" t="s">
        <v>165</v>
      </c>
      <c r="AK24" s="11" t="s">
        <v>166</v>
      </c>
      <c r="AL24" s="11" t="s">
        <v>167</v>
      </c>
      <c r="AM24" s="11" t="s">
        <v>168</v>
      </c>
      <c r="AN24" s="11" t="s">
        <v>169</v>
      </c>
      <c r="AO24" s="11" t="s">
        <v>170</v>
      </c>
      <c r="AP24" s="11" t="s">
        <v>171</v>
      </c>
      <c r="AQ24" s="11" t="s">
        <v>172</v>
      </c>
      <c r="AR24" s="11" t="s">
        <v>173</v>
      </c>
      <c r="AS24" s="11" t="s">
        <v>174</v>
      </c>
      <c r="AT24" s="11" t="s">
        <v>175</v>
      </c>
      <c r="AU24" s="11" t="s">
        <v>176</v>
      </c>
      <c r="AV24" s="11" t="s">
        <v>177</v>
      </c>
      <c r="AW24" s="11" t="s">
        <v>178</v>
      </c>
      <c r="AX24" s="11" t="s">
        <v>179</v>
      </c>
      <c r="AZ24" s="11" t="s">
        <v>180</v>
      </c>
      <c r="BA24" s="11" t="s">
        <v>181</v>
      </c>
    </row>
  </sheetData>
  <mergeCells count="4">
    <mergeCell ref="A1:H1"/>
    <mergeCell ref="A2:B2"/>
    <mergeCell ref="A10:B10"/>
    <mergeCell ref="A13:B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8"/>
  <sheetViews>
    <sheetView showZeros="0" tabSelected="1" workbookViewId="0">
      <selection activeCell="A3" sqref="A3:N3"/>
    </sheetView>
  </sheetViews>
  <sheetFormatPr defaultColWidth="9" defaultRowHeight="17.6"/>
  <cols>
    <col min="1" max="1" width="1.58035714285714" style="11" customWidth="1"/>
    <col min="2" max="2" width="12.5" style="11" customWidth="1"/>
    <col min="3" max="3" width="14.3303571428571" style="11" customWidth="1"/>
    <col min="4" max="4" width="19.5" style="11" customWidth="1"/>
    <col min="5" max="5" width="9.5" style="11" customWidth="1"/>
    <col min="6" max="6" width="7.33035714285714" style="11" customWidth="1"/>
    <col min="7" max="7" width="8.75" style="11" customWidth="1"/>
    <col min="8" max="8" width="6.33035714285714" style="11" customWidth="1"/>
    <col min="9" max="9" width="10.0803571428571" style="11" customWidth="1"/>
    <col min="10" max="10" width="6.5" style="11" customWidth="1"/>
    <col min="11" max="11" width="9.25" style="11" customWidth="1"/>
    <col min="12" max="12" width="14.3303571428571" style="11" customWidth="1"/>
    <col min="13" max="14" width="8.5" style="11" customWidth="1"/>
    <col min="15" max="16384" width="9" style="11"/>
  </cols>
  <sheetData>
    <row r="1" ht="33.75" customHeight="1" spans="1:14">
      <c r="A1" s="60"/>
      <c r="B1" s="61" t="str">
        <f>结汇单!B14</f>
        <v>{companyTitle}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ht="25" customHeight="1" spans="1:14">
      <c r="A2" s="62" t="e">
        <f>VLOOKUP(B1,资料!A3:D9,2,0)</f>
        <v>#N/A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3" ht="17.15" customHeight="1" spans="1:14">
      <c r="A3" s="63" t="e">
        <f>VLOOKUP(B1,资料!A1:C8,3,0)</f>
        <v>#N/A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</row>
    <row r="4" ht="22.5" customHeight="1" spans="1:14">
      <c r="A4" s="60"/>
      <c r="B4" s="62" t="s">
        <v>182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</row>
    <row r="5" ht="15.75" customHeight="1" spans="1:14">
      <c r="A5" s="60"/>
      <c r="B5" s="64" t="s">
        <v>183</v>
      </c>
      <c r="C5" s="65" t="str">
        <f>结汇单!H5</f>
        <v>{custName}</v>
      </c>
      <c r="D5" s="65"/>
      <c r="E5" s="65"/>
      <c r="F5" s="65"/>
      <c r="G5" s="60"/>
      <c r="H5" s="60"/>
      <c r="I5" s="60"/>
      <c r="J5" s="64" t="s">
        <v>184</v>
      </c>
      <c r="K5" s="64"/>
      <c r="L5" s="82"/>
      <c r="M5" s="82"/>
      <c r="N5" s="82"/>
    </row>
    <row r="6" ht="20.15" customHeight="1" spans="1:14">
      <c r="A6" s="60"/>
      <c r="B6" s="66" t="s">
        <v>185</v>
      </c>
      <c r="C6" s="65"/>
      <c r="D6" s="65"/>
      <c r="E6" s="65"/>
      <c r="F6" s="65"/>
      <c r="G6" s="60"/>
      <c r="H6" s="60"/>
      <c r="I6" s="60"/>
      <c r="J6" s="66" t="s">
        <v>186</v>
      </c>
      <c r="K6" s="66"/>
      <c r="L6" s="83" t="str">
        <f>结汇单!B3</f>
        <v>{invoiceCode}</v>
      </c>
      <c r="M6" s="83"/>
      <c r="N6" s="83"/>
    </row>
    <row r="7" ht="20.15" customHeight="1" spans="1:14">
      <c r="A7" s="60"/>
      <c r="B7" s="64" t="s">
        <v>187</v>
      </c>
      <c r="C7" s="65" t="str">
        <f>结汇单!B6</f>
        <v>{custAddress}</v>
      </c>
      <c r="D7" s="65"/>
      <c r="E7" s="65"/>
      <c r="F7" s="65"/>
      <c r="G7" s="60"/>
      <c r="H7" s="60"/>
      <c r="I7" s="60"/>
      <c r="J7" s="64" t="s">
        <v>188</v>
      </c>
      <c r="K7" s="64"/>
      <c r="L7" s="82"/>
      <c r="M7" s="82"/>
      <c r="N7" s="82"/>
    </row>
    <row r="8" ht="20.15" customHeight="1" spans="1:14">
      <c r="A8" s="60"/>
      <c r="B8" s="66" t="s">
        <v>189</v>
      </c>
      <c r="C8" s="65"/>
      <c r="D8" s="65"/>
      <c r="E8" s="65"/>
      <c r="F8" s="65"/>
      <c r="G8" s="60"/>
      <c r="H8" s="60"/>
      <c r="I8" s="60"/>
      <c r="J8" s="66" t="s">
        <v>190</v>
      </c>
      <c r="K8" s="66"/>
      <c r="L8" s="65" t="str">
        <f>LEFT(结汇单!F3,10)</f>
        <v>{inputDate</v>
      </c>
      <c r="M8" s="65"/>
      <c r="N8" s="65"/>
    </row>
    <row r="9" ht="20.15" customHeight="1" spans="1:14">
      <c r="A9" s="60"/>
      <c r="B9" s="64" t="s">
        <v>191</v>
      </c>
      <c r="C9" s="65" t="str">
        <f>结汇单!D5</f>
        <v>{custPo}</v>
      </c>
      <c r="D9" s="65"/>
      <c r="E9" s="65"/>
      <c r="F9" s="65"/>
      <c r="G9" s="60"/>
      <c r="I9" s="84" t="s">
        <v>192</v>
      </c>
      <c r="J9" s="82" t="str">
        <f>"FROM  "&amp;结汇单!F8&amp;"  TO  "&amp;结汇单!H8&amp;" "&amp;结汇单!D8&amp;" "&amp;结汇单!D9</f>
        <v>FROM  {departurePortName}  TO  {destinationPortName} {transportType} {invoicePackingList}</v>
      </c>
      <c r="K9" s="19"/>
      <c r="L9" s="19"/>
      <c r="M9" s="19"/>
      <c r="N9" s="19"/>
    </row>
    <row r="10" ht="24" customHeight="1" spans="1:14">
      <c r="A10" s="60"/>
      <c r="B10" s="66" t="s">
        <v>193</v>
      </c>
      <c r="C10" s="65"/>
      <c r="D10" s="65"/>
      <c r="E10" s="65"/>
      <c r="F10" s="65"/>
      <c r="G10" s="60"/>
      <c r="H10" s="75"/>
      <c r="I10" s="66" t="s">
        <v>194</v>
      </c>
      <c r="J10" s="85"/>
      <c r="K10" s="85"/>
      <c r="L10" s="85"/>
      <c r="M10" s="85"/>
      <c r="N10" s="85"/>
    </row>
    <row r="11" ht="10" customHeight="1" spans="1:14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</row>
    <row r="12" ht="20.15" customHeight="1" spans="1:14">
      <c r="A12" s="60"/>
      <c r="B12" s="67" t="s">
        <v>84</v>
      </c>
      <c r="C12" s="67" t="s">
        <v>195</v>
      </c>
      <c r="D12" s="68" t="s">
        <v>196</v>
      </c>
      <c r="E12" s="76" t="s">
        <v>197</v>
      </c>
      <c r="F12" s="77" t="s">
        <v>198</v>
      </c>
      <c r="G12" s="76" t="s">
        <v>199</v>
      </c>
      <c r="H12" s="72" t="s">
        <v>200</v>
      </c>
      <c r="I12" s="86"/>
      <c r="J12" s="87" t="s">
        <v>201</v>
      </c>
      <c r="K12" s="88"/>
      <c r="L12" s="71" t="s">
        <v>202</v>
      </c>
      <c r="M12" s="71"/>
      <c r="N12" s="71"/>
    </row>
    <row r="13" ht="26.25" customHeight="1" spans="1:14">
      <c r="A13" s="60"/>
      <c r="B13" s="69" t="s">
        <v>203</v>
      </c>
      <c r="C13" s="69" t="s">
        <v>204</v>
      </c>
      <c r="D13" s="70" t="s">
        <v>205</v>
      </c>
      <c r="E13" s="78" t="s">
        <v>206</v>
      </c>
      <c r="F13" s="79"/>
      <c r="G13" s="80" t="s">
        <v>207</v>
      </c>
      <c r="H13" s="72" t="s">
        <v>208</v>
      </c>
      <c r="I13" s="71" t="s">
        <v>209</v>
      </c>
      <c r="J13" s="71" t="s">
        <v>210</v>
      </c>
      <c r="K13" s="71" t="s">
        <v>211</v>
      </c>
      <c r="L13" s="71" t="s">
        <v>212</v>
      </c>
      <c r="M13" s="71" t="s">
        <v>213</v>
      </c>
      <c r="N13" s="71" t="s">
        <v>214</v>
      </c>
    </row>
    <row r="14" ht="26.25" customHeight="1" spans="1:14">
      <c r="A14" s="60"/>
      <c r="B14" s="71" t="str">
        <f>结汇单!L24</f>
        <v>{childItem.custPo}</v>
      </c>
      <c r="C14" s="72" t="str">
        <f>结汇单!M24</f>
        <v>{childItem.cskuCode}</v>
      </c>
      <c r="D14" s="71" t="str">
        <f>结汇单!F24</f>
        <v>{childItem.nameEng}</v>
      </c>
      <c r="E14" s="71" t="str">
        <f>结汇单!G24</f>
        <v>{childItem.shippingQuantity}</v>
      </c>
      <c r="F14" s="71" t="str">
        <f>结汇单!AB24</f>
        <v>{childItem.qtyPerOuterbox}</v>
      </c>
      <c r="G14" s="71" t="str">
        <f>结汇单!AC24</f>
        <v>{childItem.boxCount}</v>
      </c>
      <c r="H14" s="71" t="str">
        <f>结汇单!AJ24</f>
        <v>{childItem.outerboxGrossweightWeight}</v>
      </c>
      <c r="I14" s="71" t="str">
        <f>结汇单!AK24</f>
        <v>{childItem.totalGrossweightWeight}</v>
      </c>
      <c r="J14" s="71" t="str">
        <f>结汇单!AL24</f>
        <v>{childItem.outerboxNetweightWeight}</v>
      </c>
      <c r="K14" s="71" t="str">
        <f>结汇单!AM24</f>
        <v>{childItem.totalNetweightWeight}</v>
      </c>
      <c r="L14" s="71" t="str">
        <f>IF(结汇单!AJ24=0,0,结汇单!AE24&amp;"*"&amp;结汇单!AF24&amp;"*"&amp;结汇单!AG24)</f>
        <v>{childItem.outerboxLength}*{childItem.outerboxWidth}*{childItem.outerboxHeight}</v>
      </c>
      <c r="M14" s="71" t="str">
        <f>结汇单!AH24</f>
        <v>{childItem.outerboxVolume}</v>
      </c>
      <c r="N14" s="71" t="str">
        <f>结汇单!AI24</f>
        <v>{childItem.totalVolume}</v>
      </c>
    </row>
    <row r="15" ht="24" customHeight="1" spans="1:14">
      <c r="A15" s="60"/>
      <c r="B15" s="71">
        <f>结汇单!L25</f>
        <v>0</v>
      </c>
      <c r="C15" s="72">
        <f>结汇单!M25</f>
        <v>0</v>
      </c>
      <c r="D15" s="71">
        <f>结汇单!F25</f>
        <v>0</v>
      </c>
      <c r="E15" s="71">
        <f>结汇单!G25</f>
        <v>0</v>
      </c>
      <c r="F15" s="71">
        <f>结汇单!AB25</f>
        <v>0</v>
      </c>
      <c r="G15" s="71">
        <f>结汇单!AC25</f>
        <v>0</v>
      </c>
      <c r="H15" s="71">
        <f>结汇单!AJ25</f>
        <v>0</v>
      </c>
      <c r="I15" s="71">
        <f>结汇单!AK25</f>
        <v>0</v>
      </c>
      <c r="J15" s="71">
        <f>结汇单!AL25</f>
        <v>0</v>
      </c>
      <c r="K15" s="71">
        <f>结汇单!AM25</f>
        <v>0</v>
      </c>
      <c r="L15" s="71">
        <f>IF(结汇单!AJ25=0,0,结汇单!AE25&amp;"*"&amp;结汇单!AF25&amp;"*"&amp;结汇单!AG25)</f>
        <v>0</v>
      </c>
      <c r="M15" s="71">
        <f>结汇单!AH25</f>
        <v>0</v>
      </c>
      <c r="N15" s="71">
        <f>结汇单!AI25</f>
        <v>0</v>
      </c>
    </row>
    <row r="16" ht="25.5" customHeight="1" spans="1:14">
      <c r="A16" s="60"/>
      <c r="B16" s="71">
        <f>结汇单!L26</f>
        <v>0</v>
      </c>
      <c r="C16" s="72">
        <f>结汇单!M26</f>
        <v>0</v>
      </c>
      <c r="D16" s="71">
        <f>结汇单!F26</f>
        <v>0</v>
      </c>
      <c r="E16" s="71">
        <f>结汇单!G26</f>
        <v>0</v>
      </c>
      <c r="F16" s="71">
        <f>结汇单!AB26</f>
        <v>0</v>
      </c>
      <c r="G16" s="71">
        <f>结汇单!AC26</f>
        <v>0</v>
      </c>
      <c r="H16" s="71">
        <f>结汇单!AJ26</f>
        <v>0</v>
      </c>
      <c r="I16" s="71">
        <f>结汇单!AK26</f>
        <v>0</v>
      </c>
      <c r="J16" s="71">
        <f>结汇单!AL26</f>
        <v>0</v>
      </c>
      <c r="K16" s="71">
        <f>结汇单!AM26</f>
        <v>0</v>
      </c>
      <c r="L16" s="71">
        <f>IF(结汇单!AJ26=0,0,结汇单!AE26&amp;"*"&amp;结汇单!AF26&amp;"*"&amp;结汇单!AG26)</f>
        <v>0</v>
      </c>
      <c r="M16" s="71">
        <f>结汇单!AH26</f>
        <v>0</v>
      </c>
      <c r="N16" s="71">
        <f>结汇单!AI26</f>
        <v>0</v>
      </c>
    </row>
    <row r="17" ht="25.5" customHeight="1" spans="1:14">
      <c r="A17" s="60"/>
      <c r="B17" s="71">
        <f>结汇单!L27</f>
        <v>0</v>
      </c>
      <c r="C17" s="72">
        <f>结汇单!M27</f>
        <v>0</v>
      </c>
      <c r="D17" s="71">
        <f>结汇单!F27</f>
        <v>0</v>
      </c>
      <c r="E17" s="71">
        <f>结汇单!G27</f>
        <v>0</v>
      </c>
      <c r="F17" s="71">
        <f>结汇单!AB27</f>
        <v>0</v>
      </c>
      <c r="G17" s="71">
        <f>结汇单!AC27</f>
        <v>0</v>
      </c>
      <c r="H17" s="71">
        <f>结汇单!AJ27</f>
        <v>0</v>
      </c>
      <c r="I17" s="71">
        <f>结汇单!AK27</f>
        <v>0</v>
      </c>
      <c r="J17" s="71">
        <f>结汇单!AL27</f>
        <v>0</v>
      </c>
      <c r="K17" s="71">
        <f>结汇单!AM27</f>
        <v>0</v>
      </c>
      <c r="L17" s="71">
        <f>IF(结汇单!AJ27=0,0,结汇单!AE27&amp;"*"&amp;结汇单!AF27&amp;"*"&amp;结汇单!AG27)</f>
        <v>0</v>
      </c>
      <c r="M17" s="71">
        <f>结汇单!AH27</f>
        <v>0</v>
      </c>
      <c r="N17" s="71">
        <f>结汇单!AI27</f>
        <v>0</v>
      </c>
    </row>
    <row r="18" ht="25.5" customHeight="1" spans="1:14">
      <c r="A18" s="60"/>
      <c r="B18" s="71">
        <f>结汇单!L28</f>
        <v>0</v>
      </c>
      <c r="C18" s="72">
        <f>结汇单!M28</f>
        <v>0</v>
      </c>
      <c r="D18" s="71">
        <f>结汇单!F28</f>
        <v>0</v>
      </c>
      <c r="E18" s="71">
        <f>结汇单!G28</f>
        <v>0</v>
      </c>
      <c r="F18" s="71">
        <f>结汇单!AB28</f>
        <v>0</v>
      </c>
      <c r="G18" s="71">
        <f>结汇单!AC28</f>
        <v>0</v>
      </c>
      <c r="H18" s="71">
        <f>结汇单!AJ28</f>
        <v>0</v>
      </c>
      <c r="I18" s="71">
        <f>结汇单!AK28</f>
        <v>0</v>
      </c>
      <c r="J18" s="71">
        <f>结汇单!AL28</f>
        <v>0</v>
      </c>
      <c r="K18" s="71">
        <f>结汇单!AM28</f>
        <v>0</v>
      </c>
      <c r="L18" s="71">
        <f>IF(结汇单!AJ28=0,0,结汇单!AE28&amp;"*"&amp;结汇单!AF28&amp;"*"&amp;结汇单!AG28)</f>
        <v>0</v>
      </c>
      <c r="M18" s="71">
        <f>结汇单!AH28</f>
        <v>0</v>
      </c>
      <c r="N18" s="71">
        <f>结汇单!AI28</f>
        <v>0</v>
      </c>
    </row>
    <row r="19" ht="25.5" customHeight="1" spans="1:14">
      <c r="A19" s="60"/>
      <c r="B19" s="71">
        <f>结汇单!L29</f>
        <v>0</v>
      </c>
      <c r="C19" s="72">
        <f>结汇单!M29</f>
        <v>0</v>
      </c>
      <c r="D19" s="71">
        <f>结汇单!F29</f>
        <v>0</v>
      </c>
      <c r="E19" s="71">
        <f>结汇单!G29</f>
        <v>0</v>
      </c>
      <c r="F19" s="71">
        <f>结汇单!AB29</f>
        <v>0</v>
      </c>
      <c r="G19" s="71">
        <f>结汇单!AC29</f>
        <v>0</v>
      </c>
      <c r="H19" s="71">
        <f>结汇单!AJ29</f>
        <v>0</v>
      </c>
      <c r="I19" s="71">
        <f>结汇单!AK29</f>
        <v>0</v>
      </c>
      <c r="J19" s="71">
        <f>结汇单!AL29</f>
        <v>0</v>
      </c>
      <c r="K19" s="71">
        <f>结汇单!AM29</f>
        <v>0</v>
      </c>
      <c r="L19" s="71">
        <f>IF(结汇单!AJ29=0,0,结汇单!AE29&amp;"*"&amp;结汇单!AF29&amp;"*"&amp;结汇单!AG29)</f>
        <v>0</v>
      </c>
      <c r="M19" s="71">
        <f>结汇单!AH29</f>
        <v>0</v>
      </c>
      <c r="N19" s="71">
        <f>结汇单!AI29</f>
        <v>0</v>
      </c>
    </row>
    <row r="20" ht="25.5" customHeight="1" spans="1:14">
      <c r="A20" s="60"/>
      <c r="B20" s="71">
        <f>结汇单!L30</f>
        <v>0</v>
      </c>
      <c r="C20" s="72">
        <f>结汇单!M30</f>
        <v>0</v>
      </c>
      <c r="D20" s="71">
        <f>结汇单!F30</f>
        <v>0</v>
      </c>
      <c r="E20" s="71">
        <f>结汇单!G30</f>
        <v>0</v>
      </c>
      <c r="F20" s="71">
        <f>结汇单!AB30</f>
        <v>0</v>
      </c>
      <c r="G20" s="71">
        <f>结汇单!AC30</f>
        <v>0</v>
      </c>
      <c r="H20" s="71">
        <f>结汇单!AJ30</f>
        <v>0</v>
      </c>
      <c r="I20" s="71">
        <f>结汇单!AK30</f>
        <v>0</v>
      </c>
      <c r="J20" s="71">
        <f>结汇单!AL30</f>
        <v>0</v>
      </c>
      <c r="K20" s="71">
        <f>结汇单!AM30</f>
        <v>0</v>
      </c>
      <c r="L20" s="71">
        <f>IF(结汇单!AJ30=0,0,结汇单!AE30&amp;"*"&amp;结汇单!AF30&amp;"*"&amp;结汇单!AG30)</f>
        <v>0</v>
      </c>
      <c r="M20" s="71">
        <f>结汇单!AH30</f>
        <v>0</v>
      </c>
      <c r="N20" s="71">
        <f>结汇单!AI30</f>
        <v>0</v>
      </c>
    </row>
    <row r="21" ht="25.5" customHeight="1" spans="1:14">
      <c r="A21" s="60"/>
      <c r="B21" s="71">
        <f>结汇单!L31</f>
        <v>0</v>
      </c>
      <c r="C21" s="72">
        <f>结汇单!M31</f>
        <v>0</v>
      </c>
      <c r="D21" s="71">
        <f>结汇单!F31</f>
        <v>0</v>
      </c>
      <c r="E21" s="71">
        <f>结汇单!G31</f>
        <v>0</v>
      </c>
      <c r="F21" s="71">
        <f>结汇单!AB31</f>
        <v>0</v>
      </c>
      <c r="G21" s="71">
        <f>结汇单!AC31</f>
        <v>0</v>
      </c>
      <c r="H21" s="71">
        <f>结汇单!AJ31</f>
        <v>0</v>
      </c>
      <c r="I21" s="71">
        <f>结汇单!AK31</f>
        <v>0</v>
      </c>
      <c r="J21" s="71">
        <f>结汇单!AL31</f>
        <v>0</v>
      </c>
      <c r="K21" s="71">
        <f>结汇单!AM31</f>
        <v>0</v>
      </c>
      <c r="L21" s="71">
        <f>IF(结汇单!AJ31=0,0,结汇单!AE31&amp;"*"&amp;结汇单!AF31&amp;"*"&amp;结汇单!AG31)</f>
        <v>0</v>
      </c>
      <c r="M21" s="71">
        <f>结汇单!AH31</f>
        <v>0</v>
      </c>
      <c r="N21" s="71">
        <f>结汇单!AI31</f>
        <v>0</v>
      </c>
    </row>
    <row r="22" ht="25.5" customHeight="1" spans="1:14">
      <c r="A22" s="60"/>
      <c r="B22" s="71">
        <f>结汇单!L32</f>
        <v>0</v>
      </c>
      <c r="C22" s="72">
        <f>结汇单!M32</f>
        <v>0</v>
      </c>
      <c r="D22" s="71">
        <f>结汇单!F32</f>
        <v>0</v>
      </c>
      <c r="E22" s="71">
        <f>结汇单!G32</f>
        <v>0</v>
      </c>
      <c r="F22" s="71">
        <f>结汇单!AB32</f>
        <v>0</v>
      </c>
      <c r="G22" s="71">
        <f>结汇单!AC32</f>
        <v>0</v>
      </c>
      <c r="H22" s="71">
        <f>结汇单!AJ32</f>
        <v>0</v>
      </c>
      <c r="I22" s="71">
        <f>结汇单!AK32</f>
        <v>0</v>
      </c>
      <c r="J22" s="71">
        <f>结汇单!AL32</f>
        <v>0</v>
      </c>
      <c r="K22" s="71">
        <f>结汇单!AM32</f>
        <v>0</v>
      </c>
      <c r="L22" s="71">
        <f>IF(结汇单!AJ32=0,0,结汇单!AE32&amp;"*"&amp;结汇单!AF32&amp;"*"&amp;结汇单!AG32)</f>
        <v>0</v>
      </c>
      <c r="M22" s="71">
        <f>结汇单!AH32</f>
        <v>0</v>
      </c>
      <c r="N22" s="71">
        <f>结汇单!AI32</f>
        <v>0</v>
      </c>
    </row>
    <row r="23" ht="25.5" customHeight="1" spans="1:14">
      <c r="A23" s="60"/>
      <c r="B23" s="71">
        <f>结汇单!L33</f>
        <v>0</v>
      </c>
      <c r="C23" s="72">
        <f>结汇单!M33</f>
        <v>0</v>
      </c>
      <c r="D23" s="71">
        <f>结汇单!F33</f>
        <v>0</v>
      </c>
      <c r="E23" s="71">
        <f>结汇单!G33</f>
        <v>0</v>
      </c>
      <c r="F23" s="71">
        <f>结汇单!AB33</f>
        <v>0</v>
      </c>
      <c r="G23" s="71">
        <f>结汇单!AC33</f>
        <v>0</v>
      </c>
      <c r="H23" s="71">
        <f>结汇单!AJ33</f>
        <v>0</v>
      </c>
      <c r="I23" s="71">
        <f>结汇单!AK33</f>
        <v>0</v>
      </c>
      <c r="J23" s="71">
        <f>结汇单!AL33</f>
        <v>0</v>
      </c>
      <c r="K23" s="71">
        <f>结汇单!AM33</f>
        <v>0</v>
      </c>
      <c r="L23" s="71">
        <f>IF(结汇单!AJ33=0,0,结汇单!AE33&amp;"*"&amp;结汇单!AF33&amp;"*"&amp;结汇单!AG33)</f>
        <v>0</v>
      </c>
      <c r="M23" s="71">
        <f>结汇单!AH33</f>
        <v>0</v>
      </c>
      <c r="N23" s="71">
        <f>结汇单!AI33</f>
        <v>0</v>
      </c>
    </row>
    <row r="24" ht="25.5" customHeight="1" spans="1:14">
      <c r="A24" s="60"/>
      <c r="B24" s="71">
        <f>结汇单!L34</f>
        <v>0</v>
      </c>
      <c r="C24" s="72">
        <f>结汇单!M34</f>
        <v>0</v>
      </c>
      <c r="D24" s="71">
        <f>结汇单!F34</f>
        <v>0</v>
      </c>
      <c r="E24" s="71">
        <f>结汇单!G34</f>
        <v>0</v>
      </c>
      <c r="F24" s="71">
        <f>结汇单!AB34</f>
        <v>0</v>
      </c>
      <c r="G24" s="71">
        <f>结汇单!AC34</f>
        <v>0</v>
      </c>
      <c r="H24" s="71">
        <f>结汇单!AJ34</f>
        <v>0</v>
      </c>
      <c r="I24" s="71">
        <f>结汇单!AK34</f>
        <v>0</v>
      </c>
      <c r="J24" s="71">
        <f>结汇单!AL34</f>
        <v>0</v>
      </c>
      <c r="K24" s="71">
        <f>结汇单!AM34</f>
        <v>0</v>
      </c>
      <c r="L24" s="71">
        <f>IF(结汇单!AJ34=0,0,结汇单!AE34&amp;"*"&amp;结汇单!AF34&amp;"*"&amp;结汇单!AG34)</f>
        <v>0</v>
      </c>
      <c r="M24" s="71">
        <f>结汇单!AH34</f>
        <v>0</v>
      </c>
      <c r="N24" s="71">
        <f>结汇单!AI34</f>
        <v>0</v>
      </c>
    </row>
    <row r="25" ht="25.5" customHeight="1" spans="1:14">
      <c r="A25" s="60"/>
      <c r="B25" s="71">
        <f>结汇单!L35</f>
        <v>0</v>
      </c>
      <c r="C25" s="72">
        <f>结汇单!M35</f>
        <v>0</v>
      </c>
      <c r="D25" s="71">
        <f>结汇单!F35</f>
        <v>0</v>
      </c>
      <c r="E25" s="71">
        <f>结汇单!G35</f>
        <v>0</v>
      </c>
      <c r="F25" s="71">
        <f>结汇单!AB35</f>
        <v>0</v>
      </c>
      <c r="G25" s="71">
        <f>结汇单!AC35</f>
        <v>0</v>
      </c>
      <c r="H25" s="71">
        <f>结汇单!AJ35</f>
        <v>0</v>
      </c>
      <c r="I25" s="71">
        <f>结汇单!AK35</f>
        <v>0</v>
      </c>
      <c r="J25" s="71">
        <f>结汇单!AL35</f>
        <v>0</v>
      </c>
      <c r="K25" s="71">
        <f>结汇单!AM35</f>
        <v>0</v>
      </c>
      <c r="L25" s="71">
        <f>IF(结汇单!AJ35=0,0,结汇单!AE35&amp;"*"&amp;结汇单!AF35&amp;"*"&amp;结汇单!AG35)</f>
        <v>0</v>
      </c>
      <c r="M25" s="71">
        <f>结汇单!AH35</f>
        <v>0</v>
      </c>
      <c r="N25" s="71">
        <f>结汇单!AI35</f>
        <v>0</v>
      </c>
    </row>
    <row r="26" ht="25.5" customHeight="1" spans="1:14">
      <c r="A26" s="60"/>
      <c r="B26" s="71">
        <f>结汇单!L36</f>
        <v>0</v>
      </c>
      <c r="C26" s="72">
        <f>结汇单!M36</f>
        <v>0</v>
      </c>
      <c r="D26" s="71">
        <f>结汇单!F36</f>
        <v>0</v>
      </c>
      <c r="E26" s="71">
        <f>结汇单!G36</f>
        <v>0</v>
      </c>
      <c r="F26" s="71">
        <f>结汇单!AB36</f>
        <v>0</v>
      </c>
      <c r="G26" s="71">
        <f>结汇单!AC36</f>
        <v>0</v>
      </c>
      <c r="H26" s="71">
        <f>结汇单!AJ36</f>
        <v>0</v>
      </c>
      <c r="I26" s="71">
        <f>结汇单!AK36</f>
        <v>0</v>
      </c>
      <c r="J26" s="71">
        <f>结汇单!AL36</f>
        <v>0</v>
      </c>
      <c r="K26" s="71">
        <f>结汇单!AM36</f>
        <v>0</v>
      </c>
      <c r="L26" s="71">
        <f>IF(结汇单!AJ36=0,0,结汇单!AE36&amp;"*"&amp;结汇单!AF36&amp;"*"&amp;结汇单!AG36)</f>
        <v>0</v>
      </c>
      <c r="M26" s="71">
        <f>结汇单!AH36</f>
        <v>0</v>
      </c>
      <c r="N26" s="71">
        <f>结汇单!AI36</f>
        <v>0</v>
      </c>
    </row>
    <row r="27" ht="25.5" customHeight="1" spans="1:14">
      <c r="A27" s="60"/>
      <c r="B27" s="71">
        <f>结汇单!L37</f>
        <v>0</v>
      </c>
      <c r="C27" s="72">
        <f>结汇单!M37</f>
        <v>0</v>
      </c>
      <c r="D27" s="71">
        <f>结汇单!F37</f>
        <v>0</v>
      </c>
      <c r="E27" s="71">
        <f>结汇单!G37</f>
        <v>0</v>
      </c>
      <c r="F27" s="71">
        <f>结汇单!AB37</f>
        <v>0</v>
      </c>
      <c r="G27" s="71">
        <f>结汇单!AC37</f>
        <v>0</v>
      </c>
      <c r="H27" s="71">
        <f>结汇单!AJ37</f>
        <v>0</v>
      </c>
      <c r="I27" s="71">
        <f>结汇单!AK37</f>
        <v>0</v>
      </c>
      <c r="J27" s="71">
        <f>结汇单!AL37</f>
        <v>0</v>
      </c>
      <c r="K27" s="71">
        <f>结汇单!AM37</f>
        <v>0</v>
      </c>
      <c r="L27" s="71">
        <f>IF(结汇单!AJ37=0,0,结汇单!AE37&amp;"*"&amp;结汇单!AF37&amp;"*"&amp;结汇单!AG37)</f>
        <v>0</v>
      </c>
      <c r="M27" s="71">
        <f>结汇单!AH37</f>
        <v>0</v>
      </c>
      <c r="N27" s="71">
        <f>结汇单!AI37</f>
        <v>0</v>
      </c>
    </row>
    <row r="28" ht="25.5" customHeight="1" spans="1:14">
      <c r="A28" s="60"/>
      <c r="B28" s="71">
        <f>结汇单!L38</f>
        <v>0</v>
      </c>
      <c r="C28" s="72">
        <f>结汇单!M38</f>
        <v>0</v>
      </c>
      <c r="D28" s="71">
        <f>结汇单!F38</f>
        <v>0</v>
      </c>
      <c r="E28" s="71">
        <f>结汇单!G38</f>
        <v>0</v>
      </c>
      <c r="F28" s="71">
        <f>结汇单!AB38</f>
        <v>0</v>
      </c>
      <c r="G28" s="71">
        <f>结汇单!AC38</f>
        <v>0</v>
      </c>
      <c r="H28" s="71">
        <f>结汇单!AJ38</f>
        <v>0</v>
      </c>
      <c r="I28" s="71">
        <f>结汇单!AK38</f>
        <v>0</v>
      </c>
      <c r="J28" s="71">
        <f>结汇单!AL38</f>
        <v>0</v>
      </c>
      <c r="K28" s="71">
        <f>结汇单!AM38</f>
        <v>0</v>
      </c>
      <c r="L28" s="71">
        <f>IF(结汇单!AJ38=0,0,结汇单!AE38&amp;"*"&amp;结汇单!AF38&amp;"*"&amp;结汇单!AG38)</f>
        <v>0</v>
      </c>
      <c r="M28" s="71">
        <f>结汇单!AH38</f>
        <v>0</v>
      </c>
      <c r="N28" s="71">
        <f>结汇单!AI38</f>
        <v>0</v>
      </c>
    </row>
    <row r="29" ht="25.5" customHeight="1" spans="1:14">
      <c r="A29" s="60"/>
      <c r="B29" s="71">
        <f>结汇单!L39</f>
        <v>0</v>
      </c>
      <c r="C29" s="72">
        <f>结汇单!M39</f>
        <v>0</v>
      </c>
      <c r="D29" s="71">
        <f>结汇单!F39</f>
        <v>0</v>
      </c>
      <c r="E29" s="71">
        <f>结汇单!G39</f>
        <v>0</v>
      </c>
      <c r="F29" s="71">
        <f>结汇单!AC39</f>
        <v>0</v>
      </c>
      <c r="G29" s="71">
        <f>结汇单!AB39</f>
        <v>0</v>
      </c>
      <c r="H29" s="71">
        <f>结汇单!AJ39</f>
        <v>0</v>
      </c>
      <c r="I29" s="71">
        <f>结汇单!AK39</f>
        <v>0</v>
      </c>
      <c r="J29" s="71">
        <f>结汇单!AL39</f>
        <v>0</v>
      </c>
      <c r="K29" s="71">
        <f>结汇单!AM39</f>
        <v>0</v>
      </c>
      <c r="L29" s="71">
        <f>IF(结汇单!AJ39=0,0,结汇单!AE39&amp;"*"&amp;结汇单!AF39&amp;"*"&amp;结汇单!AG39)</f>
        <v>0</v>
      </c>
      <c r="M29" s="71">
        <f>结汇单!AH39</f>
        <v>0</v>
      </c>
      <c r="N29" s="71">
        <f>结汇单!AI39</f>
        <v>0</v>
      </c>
    </row>
    <row r="30" ht="32.25" customHeight="1" spans="1:14">
      <c r="A30" s="60"/>
      <c r="B30" s="73" t="s">
        <v>215</v>
      </c>
      <c r="C30" s="73"/>
      <c r="D30" s="73"/>
      <c r="E30" s="81" t="str">
        <f>结汇单!B11</f>
        <v>{totalQuantity}</v>
      </c>
      <c r="F30" s="81"/>
      <c r="G30" s="81" t="str">
        <f>结汇单!D11</f>
        <v>{totalBoxes}</v>
      </c>
      <c r="H30" s="81"/>
      <c r="I30" s="81" t="str">
        <f>结汇单!F11</f>
        <v>{totalGrossweight}</v>
      </c>
      <c r="J30" s="81"/>
      <c r="K30" s="81" t="str">
        <f>结汇单!H11</f>
        <v>{totalWeight}</v>
      </c>
      <c r="L30" s="81"/>
      <c r="M30" s="81"/>
      <c r="N30" s="81" t="str">
        <f>结汇单!B12</f>
        <v>{totalVolume}</v>
      </c>
    </row>
    <row r="33" ht="12.75" customHeight="1" spans="2:4">
      <c r="B33" s="74" t="str">
        <f>结汇单!B15</f>
        <v>{frontShippingMark}</v>
      </c>
      <c r="C33" s="74"/>
      <c r="D33" s="74"/>
    </row>
    <row r="34" spans="2:4">
      <c r="B34" s="74"/>
      <c r="C34" s="74"/>
      <c r="D34" s="74"/>
    </row>
    <row r="35" spans="2:4">
      <c r="B35" s="74"/>
      <c r="C35" s="74"/>
      <c r="D35" s="74"/>
    </row>
    <row r="36" spans="2:4">
      <c r="B36" s="74"/>
      <c r="C36" s="74"/>
      <c r="D36" s="74"/>
    </row>
    <row r="37" spans="2:4">
      <c r="B37" s="74"/>
      <c r="C37" s="74"/>
      <c r="D37" s="74"/>
    </row>
    <row r="38" spans="2:4">
      <c r="B38" s="74"/>
      <c r="C38" s="74"/>
      <c r="D38" s="74"/>
    </row>
  </sheetData>
  <mergeCells count="18">
    <mergeCell ref="B1:N1"/>
    <mergeCell ref="A2:N2"/>
    <mergeCell ref="A3:N3"/>
    <mergeCell ref="B4:N4"/>
    <mergeCell ref="J5:K5"/>
    <mergeCell ref="J6:K6"/>
    <mergeCell ref="J7:K7"/>
    <mergeCell ref="J8:K8"/>
    <mergeCell ref="H12:I12"/>
    <mergeCell ref="J12:K12"/>
    <mergeCell ref="L12:N12"/>
    <mergeCell ref="B30:D30"/>
    <mergeCell ref="F12:F13"/>
    <mergeCell ref="B33:D38"/>
    <mergeCell ref="C7:F8"/>
    <mergeCell ref="C9:F10"/>
    <mergeCell ref="J9:N10"/>
    <mergeCell ref="C5:F6"/>
  </mergeCells>
  <pageMargins left="0.71" right="0.71" top="0.75" bottom="0.75" header="0.31" footer="0.31"/>
  <pageSetup paperSize="9" scale="95" fitToHeight="4" orientation="landscape"/>
  <headerFooter>
    <oddFooter>&amp;Cpage&amp;P/&amp;N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56"/>
  <sheetViews>
    <sheetView showZeros="0" workbookViewId="0">
      <selection activeCell="A2" sqref="A2:K2"/>
    </sheetView>
  </sheetViews>
  <sheetFormatPr defaultColWidth="9" defaultRowHeight="17.6"/>
  <cols>
    <col min="1" max="1" width="17.25" style="11" customWidth="1"/>
    <col min="2" max="2" width="20.5803571428571" style="11" customWidth="1"/>
    <col min="3" max="3" width="32.5803571428571" style="11" customWidth="1"/>
    <col min="4" max="4" width="5.5" style="11" customWidth="1"/>
    <col min="5" max="5" width="5.75" style="11" customWidth="1"/>
    <col min="6" max="6" width="6.25" style="11" customWidth="1"/>
    <col min="7" max="7" width="5.25" style="11" customWidth="1"/>
    <col min="8" max="8" width="4.58035714285714" style="11" customWidth="1"/>
    <col min="9" max="9" width="8" style="11" customWidth="1"/>
    <col min="10" max="10" width="5.83035714285714" style="11" customWidth="1"/>
    <col min="11" max="11" width="10.0803571428571" style="11" customWidth="1"/>
    <col min="12" max="16384" width="9" style="11"/>
  </cols>
  <sheetData>
    <row r="1" ht="34" customHeight="1" spans="1:11">
      <c r="A1" s="12" t="str">
        <f>结汇单!B14</f>
        <v>{companyTitle}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ht="19" customHeight="1" spans="1:11">
      <c r="A2" s="13" t="e">
        <f>VLOOKUP(A1,资料!A3:D9,2,0)</f>
        <v>#N/A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>
      <c r="A3" s="14" t="e">
        <f>VLOOKUP(A1,资料!A3:D9,3,0)</f>
        <v>#N/A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ht="11.25" customHeight="1" spans="1:10">
      <c r="A4" s="15"/>
      <c r="B4" s="15"/>
      <c r="C4" s="15"/>
      <c r="D4" s="15"/>
      <c r="E4" s="15"/>
      <c r="F4" s="15"/>
      <c r="G4" s="15"/>
      <c r="H4" s="15"/>
      <c r="I4" s="15"/>
      <c r="J4" s="15"/>
    </row>
    <row r="5" ht="23.2" spans="1:11">
      <c r="A5" s="16" t="s">
        <v>216</v>
      </c>
      <c r="B5" s="16"/>
      <c r="C5" s="16"/>
      <c r="D5" s="16"/>
      <c r="E5" s="16"/>
      <c r="F5" s="16"/>
      <c r="G5" s="16"/>
      <c r="H5" s="16"/>
      <c r="I5" s="16"/>
      <c r="J5" s="16"/>
      <c r="K5" s="16"/>
    </row>
    <row r="6" ht="6.75" customHeight="1" spans="1:10">
      <c r="A6" s="17"/>
      <c r="B6" s="17"/>
      <c r="C6" s="17"/>
      <c r="D6" s="17"/>
      <c r="E6" s="17"/>
      <c r="F6" s="17"/>
      <c r="G6" s="17"/>
      <c r="H6" s="17"/>
      <c r="I6" s="17"/>
      <c r="J6" s="17"/>
    </row>
    <row r="7" ht="12" customHeight="1" spans="1:11">
      <c r="A7" s="18" t="s">
        <v>217</v>
      </c>
      <c r="B7" s="19" t="str">
        <f>结汇单!D7</f>
        <v>{settlementName}</v>
      </c>
      <c r="C7" s="19"/>
      <c r="E7" s="18" t="s">
        <v>184</v>
      </c>
      <c r="F7" s="18"/>
      <c r="G7" s="19" t="str">
        <f>结汇单!B3</f>
        <v>{invoiceCode}</v>
      </c>
      <c r="H7" s="19"/>
      <c r="I7" s="19"/>
      <c r="J7" s="19"/>
      <c r="K7" s="19"/>
    </row>
    <row r="8" ht="12" customHeight="1" spans="1:11">
      <c r="A8" s="20" t="s">
        <v>218</v>
      </c>
      <c r="B8" s="21"/>
      <c r="C8" s="21"/>
      <c r="E8" s="20" t="s">
        <v>186</v>
      </c>
      <c r="F8" s="20"/>
      <c r="G8" s="21"/>
      <c r="H8" s="21"/>
      <c r="I8" s="21"/>
      <c r="J8" s="21"/>
      <c r="K8" s="21"/>
    </row>
    <row r="9" ht="4.5" customHeight="1"/>
    <row r="10" ht="12" customHeight="1" spans="1:11">
      <c r="A10" s="18" t="s">
        <v>191</v>
      </c>
      <c r="B10" s="22" t="str">
        <f>结汇单!D5</f>
        <v>{custPo}</v>
      </c>
      <c r="C10" s="22"/>
      <c r="E10" s="18" t="s">
        <v>219</v>
      </c>
      <c r="F10" s="18"/>
      <c r="G10" s="42" t="str">
        <f>LEFT(结汇单!F3,10)</f>
        <v>{inputDate</v>
      </c>
      <c r="H10" s="42"/>
      <c r="I10" s="42"/>
      <c r="J10" s="42"/>
      <c r="K10" s="42"/>
    </row>
    <row r="11" ht="12.75" customHeight="1" spans="1:11">
      <c r="A11" s="20" t="s">
        <v>193</v>
      </c>
      <c r="B11" s="23"/>
      <c r="C11" s="23"/>
      <c r="E11" s="20" t="s">
        <v>190</v>
      </c>
      <c r="F11" s="20"/>
      <c r="G11" s="43"/>
      <c r="H11" s="43"/>
      <c r="I11" s="43"/>
      <c r="J11" s="43"/>
      <c r="K11" s="43"/>
    </row>
    <row r="12" ht="5.25" customHeight="1"/>
    <row r="13" ht="11.25" customHeight="1" spans="1:11">
      <c r="A13" s="18" t="s">
        <v>220</v>
      </c>
      <c r="B13" s="19" t="str">
        <f>结汇单!H5</f>
        <v>{custName}</v>
      </c>
      <c r="C13" s="19"/>
      <c r="D13" s="19"/>
      <c r="E13" s="19"/>
      <c r="F13" s="19"/>
      <c r="G13" s="19"/>
      <c r="H13" s="19"/>
      <c r="I13" s="19"/>
      <c r="J13" s="19"/>
      <c r="K13" s="19"/>
    </row>
    <row r="14" ht="13.5" customHeight="1" spans="1:11">
      <c r="A14" s="20" t="s">
        <v>185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ht="5.25" customHeight="1"/>
    <row r="16" ht="10.5" customHeight="1" spans="1:11">
      <c r="A16" s="18" t="s">
        <v>221</v>
      </c>
      <c r="B16" s="19" t="str">
        <f>结汇单!B6</f>
        <v>{custAddress}</v>
      </c>
      <c r="C16" s="19"/>
      <c r="D16" s="19"/>
      <c r="E16" s="19"/>
      <c r="F16" s="19"/>
      <c r="G16" s="19"/>
      <c r="H16" s="19"/>
      <c r="I16" s="19"/>
      <c r="J16" s="19"/>
      <c r="K16" s="19"/>
    </row>
    <row r="17" ht="12.75" customHeight="1" spans="1:11">
      <c r="A17" s="20" t="s">
        <v>189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ht="5.25" customHeight="1"/>
    <row r="19" ht="11.25" customHeight="1" spans="1:11">
      <c r="A19" s="18" t="s">
        <v>222</v>
      </c>
      <c r="B19" s="19" t="str">
        <f>"FROM  "&amp;结汇单!F8&amp;"  TO  "&amp;结汇单!H8&amp;" "&amp;结汇单!D8</f>
        <v>FROM  {departurePortName}  TO  {destinationPortName} {transportType}</v>
      </c>
      <c r="C19" s="19"/>
      <c r="D19" s="19"/>
      <c r="E19" s="19"/>
      <c r="F19" s="19"/>
      <c r="G19" s="19"/>
      <c r="H19" s="19"/>
      <c r="I19" s="19"/>
      <c r="J19" s="19"/>
      <c r="K19" s="19"/>
    </row>
    <row r="20" ht="14.25" customHeight="1" spans="1:11">
      <c r="A20" s="20" t="s">
        <v>223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ht="10.5" customHeight="1"/>
    <row r="22" spans="1:11">
      <c r="A22" s="24" t="s">
        <v>84</v>
      </c>
      <c r="B22" s="24" t="s">
        <v>224</v>
      </c>
      <c r="C22" s="25" t="s">
        <v>225</v>
      </c>
      <c r="D22" s="25" t="s">
        <v>226</v>
      </c>
      <c r="E22" s="24"/>
      <c r="F22" s="25" t="s">
        <v>227</v>
      </c>
      <c r="G22" s="24"/>
      <c r="H22" s="25" t="s">
        <v>228</v>
      </c>
      <c r="I22" s="24"/>
      <c r="J22" s="25" t="s">
        <v>229</v>
      </c>
      <c r="K22" s="24"/>
    </row>
    <row r="23" spans="1:11">
      <c r="A23" s="26" t="s">
        <v>203</v>
      </c>
      <c r="B23" s="26" t="s">
        <v>204</v>
      </c>
      <c r="C23" s="27" t="s">
        <v>205</v>
      </c>
      <c r="D23" s="27" t="s">
        <v>230</v>
      </c>
      <c r="E23" s="26"/>
      <c r="F23" s="29" t="s">
        <v>231</v>
      </c>
      <c r="G23" s="44"/>
      <c r="H23" s="27" t="s">
        <v>232</v>
      </c>
      <c r="I23" s="26"/>
      <c r="J23" s="27" t="s">
        <v>233</v>
      </c>
      <c r="K23" s="26"/>
    </row>
    <row r="24" spans="2:11">
      <c r="B24" s="28"/>
      <c r="C24" s="29"/>
      <c r="D24" s="30"/>
      <c r="E24" s="45"/>
      <c r="F24" s="30"/>
      <c r="G24" s="46"/>
      <c r="H24" s="47" t="str">
        <f>结汇单!B7&amp;"  "&amp;结汇单!F8</f>
        <v>{settlementTermType}  {departurePortName}</v>
      </c>
      <c r="I24" s="53"/>
      <c r="J24" s="54"/>
      <c r="K24" s="46"/>
    </row>
    <row r="25" ht="24" customHeight="1" spans="1:11">
      <c r="A25" s="11" t="str">
        <f>结汇单!L24</f>
        <v>{childItem.custPo}</v>
      </c>
      <c r="B25" s="31" t="str">
        <f>结汇单!M24</f>
        <v>{childItem.cskuCode}</v>
      </c>
      <c r="C25" s="32" t="str">
        <f>结汇单!F24</f>
        <v>{childItem.nameEng}</v>
      </c>
      <c r="D25" s="33" t="str">
        <f>结汇单!AC24</f>
        <v>{childItem.boxCount}</v>
      </c>
      <c r="E25" s="48" t="str">
        <f>结汇单!AD24</f>
        <v>{childItem.unitPerOuterbox}</v>
      </c>
      <c r="F25" s="49" t="str">
        <f>结汇单!G24</f>
        <v>{childItem.shippingQuantity}</v>
      </c>
      <c r="G25" s="48" t="str">
        <f>结汇单!H24</f>
        <v>{childItem.hsMeasureUnitName}</v>
      </c>
      <c r="H25" s="33" t="str">
        <f>结汇单!D6</f>
        <v>{currency}</v>
      </c>
      <c r="I25" s="55" t="str">
        <f>结汇单!I24</f>
        <v>{childItem.saleUnitPriceAmount}</v>
      </c>
      <c r="J25" s="33" t="str">
        <f>结汇单!D6</f>
        <v>{currency}</v>
      </c>
      <c r="K25" s="48" t="str">
        <f>结汇单!J24</f>
        <v>{childItem.saleAmountAmount}</v>
      </c>
    </row>
    <row r="26" ht="24" customHeight="1" spans="1:11">
      <c r="A26" s="11">
        <f>结汇单!L25</f>
        <v>0</v>
      </c>
      <c r="B26" s="31">
        <f>结汇单!M25</f>
        <v>0</v>
      </c>
      <c r="C26" s="32">
        <f>结汇单!F25</f>
        <v>0</v>
      </c>
      <c r="D26" s="33">
        <f>结汇单!AC25</f>
        <v>0</v>
      </c>
      <c r="E26" s="48">
        <f>结汇单!AD25</f>
        <v>0</v>
      </c>
      <c r="F26" s="49">
        <f>结汇单!G25</f>
        <v>0</v>
      </c>
      <c r="G26" s="48">
        <f>结汇单!H25</f>
        <v>0</v>
      </c>
      <c r="H26" s="33" t="str">
        <f>IF(I26=0,"",$H$25)</f>
        <v/>
      </c>
      <c r="I26" s="55">
        <f>结汇单!I25</f>
        <v>0</v>
      </c>
      <c r="J26" s="33" t="str">
        <f>IF(K26=0,"",$J$25)</f>
        <v/>
      </c>
      <c r="K26" s="48">
        <f>结汇单!J25</f>
        <v>0</v>
      </c>
    </row>
    <row r="27" ht="24" customHeight="1" spans="1:11">
      <c r="A27" s="11">
        <f>结汇单!L26</f>
        <v>0</v>
      </c>
      <c r="B27" s="31">
        <f>结汇单!M26</f>
        <v>0</v>
      </c>
      <c r="C27" s="32">
        <f>结汇单!F26</f>
        <v>0</v>
      </c>
      <c r="D27" s="33">
        <f>结汇单!AC26</f>
        <v>0</v>
      </c>
      <c r="E27" s="48">
        <f>结汇单!AD26</f>
        <v>0</v>
      </c>
      <c r="F27" s="49">
        <f>结汇单!G26</f>
        <v>0</v>
      </c>
      <c r="G27" s="48">
        <f>结汇单!H26</f>
        <v>0</v>
      </c>
      <c r="H27" s="50" t="str">
        <f t="shared" ref="H27:H39" si="0">IF(I27=0,"",$H$25)</f>
        <v/>
      </c>
      <c r="I27" s="55">
        <f>结汇单!I26</f>
        <v>0</v>
      </c>
      <c r="J27" s="50" t="str">
        <f t="shared" ref="J27:J39" si="1">IF(K27=0,"",$J$25)</f>
        <v/>
      </c>
      <c r="K27" s="48">
        <f>结汇单!J26</f>
        <v>0</v>
      </c>
    </row>
    <row r="28" ht="24" customHeight="1" spans="1:11">
      <c r="A28" s="11">
        <f>结汇单!L27</f>
        <v>0</v>
      </c>
      <c r="B28" s="31">
        <f>结汇单!M27</f>
        <v>0</v>
      </c>
      <c r="C28" s="32">
        <f>结汇单!F27</f>
        <v>0</v>
      </c>
      <c r="D28" s="33">
        <f>结汇单!AC27</f>
        <v>0</v>
      </c>
      <c r="E28" s="48">
        <f>结汇单!AD27</f>
        <v>0</v>
      </c>
      <c r="F28" s="49">
        <f>结汇单!G27</f>
        <v>0</v>
      </c>
      <c r="G28" s="48">
        <f>结汇单!H27</f>
        <v>0</v>
      </c>
      <c r="H28" s="50" t="str">
        <f t="shared" si="0"/>
        <v/>
      </c>
      <c r="I28" s="55">
        <f>结汇单!I27</f>
        <v>0</v>
      </c>
      <c r="J28" s="50" t="str">
        <f t="shared" si="1"/>
        <v/>
      </c>
      <c r="K28" s="48">
        <f>结汇单!J27</f>
        <v>0</v>
      </c>
    </row>
    <row r="29" ht="24" customHeight="1" spans="1:11">
      <c r="A29" s="11">
        <f>结汇单!L28</f>
        <v>0</v>
      </c>
      <c r="B29" s="31">
        <f>结汇单!M28</f>
        <v>0</v>
      </c>
      <c r="C29" s="32">
        <f>结汇单!F28</f>
        <v>0</v>
      </c>
      <c r="D29" s="33">
        <f>结汇单!AC28</f>
        <v>0</v>
      </c>
      <c r="E29" s="48">
        <f>结汇单!AD28</f>
        <v>0</v>
      </c>
      <c r="F29" s="49">
        <f>结汇单!G28</f>
        <v>0</v>
      </c>
      <c r="G29" s="48">
        <f>结汇单!H28</f>
        <v>0</v>
      </c>
      <c r="H29" s="50" t="str">
        <f t="shared" si="0"/>
        <v/>
      </c>
      <c r="I29" s="55">
        <f>结汇单!I28</f>
        <v>0</v>
      </c>
      <c r="J29" s="50" t="str">
        <f t="shared" si="1"/>
        <v/>
      </c>
      <c r="K29" s="48">
        <f>结汇单!J28</f>
        <v>0</v>
      </c>
    </row>
    <row r="30" ht="24" customHeight="1" spans="1:11">
      <c r="A30" s="11">
        <f>结汇单!L29</f>
        <v>0</v>
      </c>
      <c r="B30" s="31">
        <f>结汇单!M29</f>
        <v>0</v>
      </c>
      <c r="C30" s="32">
        <f>结汇单!F29</f>
        <v>0</v>
      </c>
      <c r="D30" s="33">
        <f>结汇单!AC29</f>
        <v>0</v>
      </c>
      <c r="E30" s="48">
        <f>结汇单!AD29</f>
        <v>0</v>
      </c>
      <c r="F30" s="49">
        <f>结汇单!G29</f>
        <v>0</v>
      </c>
      <c r="G30" s="48">
        <f>结汇单!H29</f>
        <v>0</v>
      </c>
      <c r="H30" s="50" t="str">
        <f t="shared" si="0"/>
        <v/>
      </c>
      <c r="I30" s="55">
        <f>结汇单!I29</f>
        <v>0</v>
      </c>
      <c r="J30" s="50" t="str">
        <f t="shared" si="1"/>
        <v/>
      </c>
      <c r="K30" s="48">
        <f>结汇单!J29</f>
        <v>0</v>
      </c>
    </row>
    <row r="31" ht="24" customHeight="1" spans="1:11">
      <c r="A31" s="11">
        <f>结汇单!L30</f>
        <v>0</v>
      </c>
      <c r="B31" s="31">
        <f>结汇单!M30</f>
        <v>0</v>
      </c>
      <c r="C31" s="32">
        <f>结汇单!F30</f>
        <v>0</v>
      </c>
      <c r="D31" s="33">
        <f>结汇单!AC30</f>
        <v>0</v>
      </c>
      <c r="E31" s="48">
        <f>结汇单!AD30</f>
        <v>0</v>
      </c>
      <c r="F31" s="49">
        <f>结汇单!G30</f>
        <v>0</v>
      </c>
      <c r="G31" s="48">
        <f>结汇单!H30</f>
        <v>0</v>
      </c>
      <c r="H31" s="50" t="str">
        <f t="shared" si="0"/>
        <v/>
      </c>
      <c r="I31" s="55">
        <f>结汇单!I30</f>
        <v>0</v>
      </c>
      <c r="J31" s="50" t="str">
        <f t="shared" si="1"/>
        <v/>
      </c>
      <c r="K31" s="48">
        <f>结汇单!J30</f>
        <v>0</v>
      </c>
    </row>
    <row r="32" ht="24" customHeight="1" spans="1:11">
      <c r="A32" s="11">
        <f>结汇单!L31</f>
        <v>0</v>
      </c>
      <c r="B32" s="31">
        <f>结汇单!M31</f>
        <v>0</v>
      </c>
      <c r="C32" s="32">
        <f>结汇单!F31</f>
        <v>0</v>
      </c>
      <c r="D32" s="33">
        <f>结汇单!AC31</f>
        <v>0</v>
      </c>
      <c r="E32" s="48">
        <f>结汇单!AD31</f>
        <v>0</v>
      </c>
      <c r="F32" s="49">
        <f>结汇单!G31</f>
        <v>0</v>
      </c>
      <c r="G32" s="48">
        <f>结汇单!H31</f>
        <v>0</v>
      </c>
      <c r="H32" s="50" t="str">
        <f t="shared" si="0"/>
        <v/>
      </c>
      <c r="I32" s="55">
        <f>结汇单!I31</f>
        <v>0</v>
      </c>
      <c r="J32" s="50" t="str">
        <f t="shared" si="1"/>
        <v/>
      </c>
      <c r="K32" s="48">
        <f>结汇单!J31</f>
        <v>0</v>
      </c>
    </row>
    <row r="33" ht="24" customHeight="1" spans="1:11">
      <c r="A33" s="11">
        <f>结汇单!L32</f>
        <v>0</v>
      </c>
      <c r="B33" s="31">
        <f>结汇单!M32</f>
        <v>0</v>
      </c>
      <c r="C33" s="32">
        <f>结汇单!F32</f>
        <v>0</v>
      </c>
      <c r="D33" s="33">
        <f>结汇单!AC32</f>
        <v>0</v>
      </c>
      <c r="E33" s="48">
        <f>结汇单!AD32</f>
        <v>0</v>
      </c>
      <c r="F33" s="49">
        <f>结汇单!G32</f>
        <v>0</v>
      </c>
      <c r="G33" s="48">
        <f>结汇单!H32</f>
        <v>0</v>
      </c>
      <c r="H33" s="50" t="str">
        <f t="shared" si="0"/>
        <v/>
      </c>
      <c r="I33" s="55">
        <f>结汇单!I32</f>
        <v>0</v>
      </c>
      <c r="J33" s="50" t="str">
        <f t="shared" si="1"/>
        <v/>
      </c>
      <c r="K33" s="48">
        <f>结汇单!J32</f>
        <v>0</v>
      </c>
    </row>
    <row r="34" ht="24" customHeight="1" spans="1:11">
      <c r="A34" s="11">
        <f>结汇单!L33</f>
        <v>0</v>
      </c>
      <c r="B34" s="31">
        <f>结汇单!M33</f>
        <v>0</v>
      </c>
      <c r="C34" s="32">
        <f>结汇单!F33</f>
        <v>0</v>
      </c>
      <c r="D34" s="33">
        <f>结汇单!AC33</f>
        <v>0</v>
      </c>
      <c r="E34" s="48">
        <f>结汇单!AD33</f>
        <v>0</v>
      </c>
      <c r="F34" s="49">
        <f>结汇单!G33</f>
        <v>0</v>
      </c>
      <c r="G34" s="48">
        <f>结汇单!H33</f>
        <v>0</v>
      </c>
      <c r="H34" s="50" t="str">
        <f t="shared" si="0"/>
        <v/>
      </c>
      <c r="I34" s="55">
        <f>结汇单!I33</f>
        <v>0</v>
      </c>
      <c r="J34" s="50" t="str">
        <f t="shared" si="1"/>
        <v/>
      </c>
      <c r="K34" s="48">
        <f>结汇单!J33</f>
        <v>0</v>
      </c>
    </row>
    <row r="35" ht="24" customHeight="1" spans="1:11">
      <c r="A35" s="11">
        <f>结汇单!L34</f>
        <v>0</v>
      </c>
      <c r="B35" s="31">
        <f>结汇单!M34</f>
        <v>0</v>
      </c>
      <c r="C35" s="32">
        <f>结汇单!F34</f>
        <v>0</v>
      </c>
      <c r="D35" s="33">
        <f>结汇单!AC34</f>
        <v>0</v>
      </c>
      <c r="E35" s="48">
        <f>结汇单!AD34</f>
        <v>0</v>
      </c>
      <c r="F35" s="49">
        <f>结汇单!G34</f>
        <v>0</v>
      </c>
      <c r="G35" s="48">
        <f>结汇单!H34</f>
        <v>0</v>
      </c>
      <c r="H35" s="50" t="str">
        <f t="shared" si="0"/>
        <v/>
      </c>
      <c r="I35" s="55">
        <f>结汇单!I34</f>
        <v>0</v>
      </c>
      <c r="J35" s="50" t="str">
        <f t="shared" si="1"/>
        <v/>
      </c>
      <c r="K35" s="48">
        <f>结汇单!J34</f>
        <v>0</v>
      </c>
    </row>
    <row r="36" ht="24" customHeight="1" spans="1:11">
      <c r="A36" s="11">
        <f>结汇单!L35</f>
        <v>0</v>
      </c>
      <c r="B36" s="31">
        <f>结汇单!M35</f>
        <v>0</v>
      </c>
      <c r="C36" s="32">
        <f>结汇单!F35</f>
        <v>0</v>
      </c>
      <c r="D36" s="33">
        <f>结汇单!AC35</f>
        <v>0</v>
      </c>
      <c r="E36" s="48">
        <f>结汇单!AD35</f>
        <v>0</v>
      </c>
      <c r="F36" s="49">
        <f>结汇单!G35</f>
        <v>0</v>
      </c>
      <c r="G36" s="48">
        <f>结汇单!H35</f>
        <v>0</v>
      </c>
      <c r="H36" s="50" t="str">
        <f t="shared" si="0"/>
        <v/>
      </c>
      <c r="I36" s="55">
        <f>结汇单!I35</f>
        <v>0</v>
      </c>
      <c r="J36" s="50" t="str">
        <f t="shared" si="1"/>
        <v/>
      </c>
      <c r="K36" s="48">
        <f>结汇单!J35</f>
        <v>0</v>
      </c>
    </row>
    <row r="37" ht="24" customHeight="1" spans="1:11">
      <c r="A37" s="11">
        <f>结汇单!L36</f>
        <v>0</v>
      </c>
      <c r="B37" s="31">
        <f>结汇单!M36</f>
        <v>0</v>
      </c>
      <c r="C37" s="32">
        <f>结汇单!F36</f>
        <v>0</v>
      </c>
      <c r="D37" s="33">
        <f>结汇单!AC36</f>
        <v>0</v>
      </c>
      <c r="E37" s="48">
        <f>结汇单!AD36</f>
        <v>0</v>
      </c>
      <c r="F37" s="49">
        <f>结汇单!G36</f>
        <v>0</v>
      </c>
      <c r="G37" s="48">
        <f>结汇单!H36</f>
        <v>0</v>
      </c>
      <c r="H37" s="50" t="str">
        <f t="shared" si="0"/>
        <v/>
      </c>
      <c r="I37" s="55">
        <f>结汇单!I36</f>
        <v>0</v>
      </c>
      <c r="J37" s="50" t="str">
        <f t="shared" si="1"/>
        <v/>
      </c>
      <c r="K37" s="48">
        <f>结汇单!J36</f>
        <v>0</v>
      </c>
    </row>
    <row r="38" ht="24" customHeight="1" spans="1:11">
      <c r="A38" s="11">
        <f>结汇单!L37</f>
        <v>0</v>
      </c>
      <c r="B38" s="31">
        <f>结汇单!M37</f>
        <v>0</v>
      </c>
      <c r="C38" s="32">
        <f>结汇单!F37</f>
        <v>0</v>
      </c>
      <c r="D38" s="33">
        <f>结汇单!AC37</f>
        <v>0</v>
      </c>
      <c r="E38" s="48">
        <f>结汇单!AD37</f>
        <v>0</v>
      </c>
      <c r="F38" s="49">
        <f>结汇单!G37</f>
        <v>0</v>
      </c>
      <c r="G38" s="48">
        <f>结汇单!H37</f>
        <v>0</v>
      </c>
      <c r="H38" s="50" t="str">
        <f t="shared" si="0"/>
        <v/>
      </c>
      <c r="I38" s="55">
        <f>结汇单!I37</f>
        <v>0</v>
      </c>
      <c r="J38" s="50" t="str">
        <f t="shared" si="1"/>
        <v/>
      </c>
      <c r="K38" s="48">
        <f>结汇单!J37</f>
        <v>0</v>
      </c>
    </row>
    <row r="39" ht="24" customHeight="1" spans="1:11">
      <c r="A39" s="11">
        <f>结汇单!L38</f>
        <v>0</v>
      </c>
      <c r="B39" s="31">
        <f>结汇单!M38</f>
        <v>0</v>
      </c>
      <c r="C39" s="32">
        <f>结汇单!F38</f>
        <v>0</v>
      </c>
      <c r="D39" s="33">
        <f>结汇单!AC38</f>
        <v>0</v>
      </c>
      <c r="E39" s="48">
        <f>结汇单!AD38</f>
        <v>0</v>
      </c>
      <c r="F39" s="49">
        <f>结汇单!G38</f>
        <v>0</v>
      </c>
      <c r="G39" s="48">
        <f>结汇单!H38</f>
        <v>0</v>
      </c>
      <c r="H39" s="50" t="str">
        <f t="shared" si="0"/>
        <v/>
      </c>
      <c r="I39" s="55">
        <f>结汇单!I38</f>
        <v>0</v>
      </c>
      <c r="J39" s="50" t="str">
        <f t="shared" si="1"/>
        <v/>
      </c>
      <c r="K39" s="48">
        <f>结汇单!J38</f>
        <v>0</v>
      </c>
    </row>
    <row r="40" spans="2:11">
      <c r="B40" s="34"/>
      <c r="C40" s="32">
        <f>结汇单!F44</f>
        <v>0</v>
      </c>
      <c r="D40" s="33">
        <f>结汇单!AC44</f>
        <v>0</v>
      </c>
      <c r="E40" s="48">
        <f>结汇单!AD44</f>
        <v>0</v>
      </c>
      <c r="F40" s="49">
        <f>结汇单!G44</f>
        <v>0</v>
      </c>
      <c r="G40" s="48">
        <f>结汇单!H44</f>
        <v>0</v>
      </c>
      <c r="H40" s="51"/>
      <c r="I40" s="55"/>
      <c r="J40" s="56"/>
      <c r="K40" s="48"/>
    </row>
    <row r="41" ht="16.5" customHeight="1" spans="1:11">
      <c r="A41" s="35"/>
      <c r="C41" s="36" t="s">
        <v>215</v>
      </c>
      <c r="D41" s="37">
        <f>SUM(D25:D40)</f>
        <v>0</v>
      </c>
      <c r="E41" s="52" t="s">
        <v>234</v>
      </c>
      <c r="F41" s="37">
        <f>SUM(F25:F40)</f>
        <v>0</v>
      </c>
      <c r="G41" s="52" t="s">
        <v>235</v>
      </c>
      <c r="H41" s="52"/>
      <c r="I41" s="35"/>
      <c r="J41" s="37" t="str">
        <f>IF(K41=0,"",$H$25)</f>
        <v/>
      </c>
      <c r="K41" s="52">
        <f>SUM(K25:K40)</f>
        <v>0</v>
      </c>
    </row>
    <row r="42" ht="15.75" customHeight="1" spans="1:10">
      <c r="A42" s="38" t="str">
        <f>结汇单!B15</f>
        <v>{frontShippingMark}</v>
      </c>
      <c r="B42" s="38"/>
      <c r="E42" s="18"/>
      <c r="F42" s="18"/>
      <c r="G42" s="18"/>
      <c r="H42" s="49" t="str">
        <f>IF(I42="","",$H$25)</f>
        <v/>
      </c>
      <c r="I42" s="57" t="str">
        <f>IF(E42&lt;&gt;"",结汇单!D18,"")</f>
        <v/>
      </c>
      <c r="J42" s="58"/>
    </row>
    <row r="43" spans="1:10">
      <c r="A43" s="38"/>
      <c r="B43" s="38"/>
      <c r="E43" s="18"/>
      <c r="F43" s="18"/>
      <c r="G43" s="18"/>
      <c r="H43" s="49"/>
      <c r="I43" s="59">
        <f>IF(I42=0,"",SUM(I41:I42))</f>
        <v>0</v>
      </c>
      <c r="J43" s="58"/>
    </row>
    <row r="44" spans="1:2">
      <c r="A44" s="38"/>
      <c r="B44" s="38"/>
    </row>
    <row r="45" spans="1:2">
      <c r="A45" s="38"/>
      <c r="B45" s="38"/>
    </row>
    <row r="46" spans="1:2">
      <c r="A46" s="38"/>
      <c r="B46" s="38"/>
    </row>
    <row r="47" spans="1:2">
      <c r="A47" s="38"/>
      <c r="B47" s="38"/>
    </row>
    <row r="48" spans="1:2">
      <c r="A48" s="39" t="s">
        <v>236</v>
      </c>
      <c r="B48" s="39"/>
    </row>
    <row r="49" spans="1:2">
      <c r="A49" s="19" t="s">
        <v>237</v>
      </c>
      <c r="B49" s="11" t="str">
        <f>VLOOKUP(B54,银行资料!$B$2:$E$8,2,FALSE)</f>
        <v>BANK OF NINGBO</v>
      </c>
    </row>
    <row r="50" spans="1:2">
      <c r="A50" s="19" t="s">
        <v>238</v>
      </c>
      <c r="B50" s="11" t="str">
        <f>VLOOKUP(B54,银行资料!$B$2:$E$8,3,FALSE)</f>
        <v>NO.700 NINGNAN SOUTH ROAD,NINGBO,P.R.CHINA,315100</v>
      </c>
    </row>
    <row r="51" spans="1:2">
      <c r="A51" s="19" t="s">
        <v>239</v>
      </c>
      <c r="B51" s="11" t="str">
        <f>VLOOKUP(B54,银行资料!$B$2:$E$8,4,FALSE)</f>
        <v>BKNBCN2N</v>
      </c>
    </row>
    <row r="52" spans="1:6">
      <c r="A52" s="19" t="s">
        <v>240</v>
      </c>
      <c r="B52" s="11" t="s">
        <v>241</v>
      </c>
      <c r="D52" s="19" t="s">
        <v>242</v>
      </c>
      <c r="E52" s="19"/>
      <c r="F52" s="11" t="s">
        <v>243</v>
      </c>
    </row>
    <row r="53" spans="1:2">
      <c r="A53" s="19" t="s">
        <v>244</v>
      </c>
      <c r="B53" s="11" t="e">
        <f>VLOOKUP(A1,资料!A3:D9,2,0)</f>
        <v>#N/A</v>
      </c>
    </row>
    <row r="54" spans="1:2">
      <c r="A54" s="19" t="s">
        <v>245</v>
      </c>
      <c r="B54" s="40" t="s">
        <v>246</v>
      </c>
    </row>
    <row r="55" spans="1:2">
      <c r="A55" s="19" t="s">
        <v>247</v>
      </c>
      <c r="B55" s="41" t="e">
        <f>VLOOKUP(A1,资料!A3:D9,3,0)</f>
        <v>#N/A</v>
      </c>
    </row>
    <row r="56" spans="1:2">
      <c r="A56" s="19" t="s">
        <v>240</v>
      </c>
      <c r="B56" s="19"/>
    </row>
  </sheetData>
  <mergeCells count="24">
    <mergeCell ref="A1:K1"/>
    <mergeCell ref="A2:K2"/>
    <mergeCell ref="A3:K3"/>
    <mergeCell ref="A4:I4"/>
    <mergeCell ref="A5:K5"/>
    <mergeCell ref="D22:E22"/>
    <mergeCell ref="F22:G22"/>
    <mergeCell ref="H22:I22"/>
    <mergeCell ref="J22:K22"/>
    <mergeCell ref="D23:E23"/>
    <mergeCell ref="F23:G23"/>
    <mergeCell ref="H23:I23"/>
    <mergeCell ref="J23:K23"/>
    <mergeCell ref="D24:E24"/>
    <mergeCell ref="H24:I24"/>
    <mergeCell ref="D52:E52"/>
    <mergeCell ref="B19:K20"/>
    <mergeCell ref="B7:C8"/>
    <mergeCell ref="B10:C11"/>
    <mergeCell ref="G7:K8"/>
    <mergeCell ref="A42:B47"/>
    <mergeCell ref="G10:K11"/>
    <mergeCell ref="B13:K14"/>
    <mergeCell ref="B16:K17"/>
  </mergeCells>
  <pageMargins left="0.71" right="0.71" top="0.75" bottom="0.75" header="0.31" footer="0.31"/>
  <pageSetup paperSize="9" scale="87" fitToHeight="3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5"/>
  <sheetViews>
    <sheetView workbookViewId="0">
      <selection activeCell="A6" sqref="$A6:$XFD6"/>
    </sheetView>
  </sheetViews>
  <sheetFormatPr defaultColWidth="9.08035714285714" defaultRowHeight="17.6"/>
  <cols>
    <col min="1" max="1" width="22.8303571428571" customWidth="1"/>
    <col min="2" max="2" width="27.75" customWidth="1"/>
    <col min="3" max="3" width="24.8303571428571" customWidth="1"/>
    <col min="4" max="4" width="46.5803571428571"/>
    <col min="5" max="5" width="56"/>
    <col min="6" max="7" width="22.75" customWidth="1"/>
    <col min="9" max="9" width="15"/>
  </cols>
  <sheetData>
    <row r="2" spans="1:9">
      <c r="A2" s="7" t="s">
        <v>248</v>
      </c>
      <c r="B2" s="7" t="s">
        <v>249</v>
      </c>
      <c r="C2" s="7" t="s">
        <v>250</v>
      </c>
      <c r="D2" s="7" t="s">
        <v>251</v>
      </c>
      <c r="E2" s="7" t="s">
        <v>252</v>
      </c>
      <c r="F2" s="7" t="s">
        <v>253</v>
      </c>
      <c r="G2" s="7" t="s">
        <v>254</v>
      </c>
      <c r="H2" t="s">
        <v>255</v>
      </c>
      <c r="I2" t="s">
        <v>256</v>
      </c>
    </row>
    <row r="3" ht="122" spans="1:10">
      <c r="A3" s="7" t="s">
        <v>257</v>
      </c>
      <c r="B3" s="7" t="s">
        <v>258</v>
      </c>
      <c r="C3" s="7" t="s">
        <v>259</v>
      </c>
      <c r="D3" s="7" t="s">
        <v>260</v>
      </c>
      <c r="E3" s="8" t="s">
        <v>261</v>
      </c>
      <c r="F3" s="9">
        <v>3302941306</v>
      </c>
      <c r="G3" t="s">
        <v>262</v>
      </c>
      <c r="H3" s="8"/>
      <c r="I3" t="s">
        <v>263</v>
      </c>
      <c r="J3" t="s">
        <v>264</v>
      </c>
    </row>
    <row r="4" spans="1:9">
      <c r="A4" s="7" t="s">
        <v>265</v>
      </c>
      <c r="B4" s="7" t="s">
        <v>266</v>
      </c>
      <c r="C4" s="7" t="s">
        <v>267</v>
      </c>
      <c r="D4" s="7"/>
      <c r="E4" s="7"/>
      <c r="F4" s="93" t="s">
        <v>268</v>
      </c>
      <c r="G4" s="93" t="s">
        <v>269</v>
      </c>
      <c r="H4" t="s">
        <v>270</v>
      </c>
      <c r="I4" t="s">
        <v>271</v>
      </c>
    </row>
    <row r="5" spans="1:9">
      <c r="A5" s="7" t="s">
        <v>272</v>
      </c>
      <c r="B5" s="7" t="s">
        <v>273</v>
      </c>
      <c r="C5" s="7"/>
      <c r="D5" s="7"/>
      <c r="E5" s="7"/>
      <c r="F5" s="93" t="s">
        <v>274</v>
      </c>
      <c r="G5" s="93" t="s">
        <v>275</v>
      </c>
      <c r="H5" t="s">
        <v>276</v>
      </c>
      <c r="I5" t="s">
        <v>277</v>
      </c>
    </row>
    <row r="6" spans="1:7">
      <c r="A6" s="7" t="s">
        <v>278</v>
      </c>
      <c r="B6" s="7" t="s">
        <v>278</v>
      </c>
      <c r="C6" s="7" t="s">
        <v>279</v>
      </c>
      <c r="D6" s="7"/>
      <c r="E6" s="7"/>
      <c r="F6" s="7"/>
      <c r="G6" s="7"/>
    </row>
    <row r="7" spans="1:9">
      <c r="A7" s="7" t="s">
        <v>280</v>
      </c>
      <c r="B7" s="7" t="s">
        <v>281</v>
      </c>
      <c r="C7" s="7"/>
      <c r="D7" s="7" t="s">
        <v>282</v>
      </c>
      <c r="E7" s="7"/>
      <c r="F7" s="7"/>
      <c r="G7" s="7"/>
      <c r="H7" t="s">
        <v>255</v>
      </c>
      <c r="I7" t="s">
        <v>283</v>
      </c>
    </row>
    <row r="8" spans="1:9">
      <c r="A8" s="7" t="s">
        <v>284</v>
      </c>
      <c r="B8" s="7" t="s">
        <v>285</v>
      </c>
      <c r="C8" s="7"/>
      <c r="D8" s="7" t="s">
        <v>286</v>
      </c>
      <c r="E8" s="7"/>
      <c r="F8" s="7"/>
      <c r="G8" s="7"/>
      <c r="H8" t="s">
        <v>263</v>
      </c>
      <c r="I8" t="s">
        <v>287</v>
      </c>
    </row>
    <row r="9" spans="1:9">
      <c r="A9" s="7" t="s">
        <v>288</v>
      </c>
      <c r="B9" s="7" t="s">
        <v>289</v>
      </c>
      <c r="C9" s="7" t="s">
        <v>290</v>
      </c>
      <c r="D9" s="7"/>
      <c r="H9" t="s">
        <v>270</v>
      </c>
      <c r="I9" s="10" t="s">
        <v>291</v>
      </c>
    </row>
    <row r="10" spans="8:9">
      <c r="H10" t="s">
        <v>276</v>
      </c>
      <c r="I10" t="s">
        <v>277</v>
      </c>
    </row>
    <row r="12" spans="8:9">
      <c r="H12" t="s">
        <v>255</v>
      </c>
      <c r="I12" t="s">
        <v>292</v>
      </c>
    </row>
    <row r="13" spans="8:9">
      <c r="H13" t="s">
        <v>263</v>
      </c>
      <c r="I13" t="s">
        <v>293</v>
      </c>
    </row>
    <row r="14" spans="8:9">
      <c r="H14" t="s">
        <v>270</v>
      </c>
      <c r="I14" s="10" t="s">
        <v>294</v>
      </c>
    </row>
    <row r="15" spans="8:9">
      <c r="H15" t="s">
        <v>276</v>
      </c>
      <c r="I15" t="s">
        <v>277</v>
      </c>
    </row>
  </sheetData>
  <hyperlinks>
    <hyperlink ref="I9" r:id="rId2" display="laura.yao@vertak.com"/>
    <hyperlink ref="I14" r:id="rId3" display="linqing@vertak.com"/>
  </hyperlink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B2" sqref="B2"/>
    </sheetView>
  </sheetViews>
  <sheetFormatPr defaultColWidth="9.08035714285714" defaultRowHeight="17.6" outlineLevelCol="4"/>
  <cols>
    <col min="1" max="1" width="14.3303571428571" customWidth="1"/>
    <col min="2" max="2" width="25.25" style="1" customWidth="1"/>
    <col min="3" max="3" width="32" customWidth="1"/>
    <col min="4" max="4" width="57" customWidth="1"/>
    <col min="5" max="5" width="44" customWidth="1"/>
  </cols>
  <sheetData>
    <row r="1" ht="18.35" spans="1:5">
      <c r="A1" s="2" t="s">
        <v>295</v>
      </c>
      <c r="B1" s="3" t="s">
        <v>296</v>
      </c>
      <c r="C1" s="2" t="s">
        <v>297</v>
      </c>
      <c r="D1" s="2" t="s">
        <v>298</v>
      </c>
      <c r="E1" s="2" t="s">
        <v>299</v>
      </c>
    </row>
    <row r="2" spans="1:5">
      <c r="A2" s="4" t="s">
        <v>300</v>
      </c>
      <c r="B2" s="5" t="s">
        <v>246</v>
      </c>
      <c r="C2" s="4" t="s">
        <v>301</v>
      </c>
      <c r="D2" s="4" t="s">
        <v>302</v>
      </c>
      <c r="E2" s="4" t="s">
        <v>303</v>
      </c>
    </row>
    <row r="3" spans="1:5">
      <c r="A3" s="4"/>
      <c r="B3" s="5"/>
      <c r="C3" s="4"/>
      <c r="D3" s="4"/>
      <c r="E3" s="4"/>
    </row>
    <row r="4" spans="1:5">
      <c r="A4" s="4"/>
      <c r="B4" s="5"/>
      <c r="C4" s="4"/>
      <c r="D4" s="4"/>
      <c r="E4" s="4"/>
    </row>
    <row r="5" spans="1:5">
      <c r="A5" s="4"/>
      <c r="B5" s="5"/>
      <c r="C5" s="4"/>
      <c r="D5" s="4"/>
      <c r="E5" s="4"/>
    </row>
    <row r="6" spans="1:5">
      <c r="A6" s="4"/>
      <c r="B6" s="5"/>
      <c r="C6" s="4"/>
      <c r="D6" s="4"/>
      <c r="E6" s="4"/>
    </row>
    <row r="7" spans="1:5">
      <c r="A7" s="4"/>
      <c r="B7" s="5"/>
      <c r="C7" s="4"/>
      <c r="D7" s="4"/>
      <c r="E7" s="4"/>
    </row>
    <row r="8" spans="1:5">
      <c r="A8" s="4"/>
      <c r="B8" s="5"/>
      <c r="C8" s="4"/>
      <c r="D8" s="4"/>
      <c r="E8" s="4"/>
    </row>
    <row r="9" spans="1:5">
      <c r="A9" s="4"/>
      <c r="B9" s="5"/>
      <c r="C9" s="4"/>
      <c r="D9" s="4"/>
      <c r="E9" s="4"/>
    </row>
    <row r="10" spans="1:5">
      <c r="A10" s="4"/>
      <c r="B10" s="5"/>
      <c r="C10" s="4"/>
      <c r="D10" s="4"/>
      <c r="E10" s="4"/>
    </row>
    <row r="11" spans="1:5">
      <c r="A11" s="4"/>
      <c r="B11" s="5"/>
      <c r="C11" s="6"/>
      <c r="D11" s="4"/>
      <c r="E11" s="4"/>
    </row>
    <row r="12" spans="1:5">
      <c r="A12" s="4"/>
      <c r="B12" s="5"/>
      <c r="C12" s="4"/>
      <c r="D12" s="4"/>
      <c r="E12" s="4"/>
    </row>
  </sheetData>
  <pageMargins left="0.75" right="0.75" top="1" bottom="1" header="0.51" footer="0.5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NB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结汇单</vt:lpstr>
      <vt:lpstr>收汇箱单</vt:lpstr>
      <vt:lpstr>收汇发票</vt:lpstr>
      <vt:lpstr>资料</vt:lpstr>
      <vt:lpstr>银行资料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叶群飞</dc:creator>
  <dc:description>Intersky Smarterp OfficeReport Template File
畅想外贸业务管理系统(泛太)
出运明细
托单</dc:description>
  <cp:lastModifiedBy>程波</cp:lastModifiedBy>
  <dcterms:created xsi:type="dcterms:W3CDTF">2013-07-15T05:19:00Z</dcterms:created>
  <cp:lastPrinted>2022-05-24T15:55:00Z</cp:lastPrinted>
  <dcterms:modified xsi:type="dcterms:W3CDTF">2025-11-15T17:09:00Z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7C8BF5B69B172AFAC6FDD468F9D4FED4_43</vt:lpwstr>
  </property>
</Properties>
</file>